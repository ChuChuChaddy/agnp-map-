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1 — Field Measurements" sheetId="1" state="visible" r:id="rId3"/>
    <sheet name="L2 — Release Models" sheetId="2" state="visible" r:id="rId4"/>
    <sheet name="L3 — Species at Risk" sheetId="3" state="visible" r:id="rId5"/>
    <sheet name="L4 — Climate Shift Zones" sheetId="4" state="visible" r:id="rId6"/>
    <sheet name="Methods + Math" sheetId="5" state="visible" r:id="rId7"/>
  </sheets>
  <definedNames>
    <definedName function="false" hidden="true" localSheetId="0" name="_xlnm._FilterDatabase" vbProcedure="false">'L1 — Field Measurements'!$A$2:$L$2</definedName>
    <definedName function="false" hidden="true" localSheetId="1" name="_xlnm._FilterDatabase" vbProcedure="false">'L2 — Release Models'!$A$2:$K$2</definedName>
    <definedName function="false" hidden="true" localSheetId="3" name="_xlnm._FilterDatabase" vbProcedure="false">'L4 — Climate Shift Zones'!$A$2:$O$2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<sst xmlns="http://schemas.openxmlformats.org/spreadsheetml/2006/main" count="1076" uniqueCount="598">
  <si>
    <t xml:space="preserve">Layer 1 — Confirmed AgNP Field Measurements  (sp-ICP-MS verified)</t>
  </si>
  <si>
    <t xml:space="preserve">Site Name</t>
  </si>
  <si>
    <t xml:space="preserve">Longitude</t>
  </si>
  <si>
    <t xml:space="preserve">Latitude</t>
  </si>
  <si>
    <t xml:space="preserve">Water Type</t>
  </si>
  <si>
    <t xml:space="preserve">Salinity (‰)</t>
  </si>
  <si>
    <t xml:space="preserve">AgNP Conc (ng/L)</t>
  </si>
  <si>
    <t xml:space="preserve">Measurement Type</t>
  </si>
  <si>
    <t xml:space="preserve">Is AgNP Confirmed</t>
  </si>
  <si>
    <t xml:space="preserve">Risk Intensity (0–1)</t>
  </si>
  <si>
    <t xml:space="preserve">Citation</t>
  </si>
  <si>
    <t xml:space="preserve">DOI</t>
  </si>
  <si>
    <t xml:space="preserve">Notes</t>
  </si>
  <si>
    <t xml:space="preserve">River Isar, Germany (stable background)</t>
  </si>
  <si>
    <t xml:space="preserve">FW</t>
  </si>
  <si>
    <t xml:space="preserve">AgNP (Ag-b-NPs, sp-ICP-MS)</t>
  </si>
  <si>
    <t xml:space="preserve">Yes</t>
  </si>
  <si>
    <t xml:space="preserve">Wimmer et al. 2019</t>
  </si>
  <si>
    <t xml:space="preserve">10.1021/acs.estlett.9b00211</t>
  </si>
  <si>
    <t xml:space="preserve">Stable background ~1-2 ng/L Ag-b-NPs along river reach; peaks 2.47-69.08 ng/L near WWTPs</t>
  </si>
  <si>
    <t xml:space="preserve">River Isar near WWTP, Germany (hotspot)</t>
  </si>
  <si>
    <t xml:space="preserve">Wimmer et al. 2019; Li et al. 2016</t>
  </si>
  <si>
    <t xml:space="preserve">WWTP discharge hotspot, range 2.47-69.08 ng/L; midpoint used</t>
  </si>
  <si>
    <t xml:space="preserve">Besòs River Basin, Barcelona, Spain (WWTP hotspot)</t>
  </si>
  <si>
    <t xml:space="preserve">AgNP (sp-ICP-MS, particles/L converted)</t>
  </si>
  <si>
    <t xml:space="preserve">Sanchís et al. 2020</t>
  </si>
  <si>
    <t xml:space="preserve">10.1021/acs.est.9b05996</t>
  </si>
  <si>
    <t xml:space="preserve">Average 640 pg/L (0.64 ng/L) Ag-NPs near WWTP discharge; 17.9-45.1 million particles/L</t>
  </si>
  <si>
    <t xml:space="preserve">Skudai River, Johor, Malaysia (near STP discharge)</t>
  </si>
  <si>
    <t xml:space="preserve">AgNP (ICP-MS)</t>
  </si>
  <si>
    <t xml:space="preserve">Kueh et al. 2018</t>
  </si>
  <si>
    <t xml:space="preserve">10.1038/s41598-018-19375-1</t>
  </si>
  <si>
    <t xml:space="preserve">Range 0.13-10.16 mg/L in river, highest in July (dry season); anomalously high values suggest near-STP hotspots. Midpoint used.</t>
  </si>
  <si>
    <t xml:space="preserve">Rhine River, Europe (modeled/estimated)</t>
  </si>
  <si>
    <t xml:space="preserve">Estimated/modeled AgNP</t>
  </si>
  <si>
    <t xml:space="preserve">Blaser et al. 2008</t>
  </si>
  <si>
    <t xml:space="preserve">10.1016/j.scitotenv.2008.01.008</t>
  </si>
  <si>
    <t xml:space="preserve">Estimated 4-40 ng/L range; midpoint 22 ng/L; based on Blaser et al. 2008 PEC modeling</t>
  </si>
  <si>
    <t xml:space="preserve">Lake 222, Experimental Lakes Area (ELA), Ontario, Canada (whole-lake addition study)</t>
  </si>
  <si>
    <t xml:space="preserve">AgNP + Total Ag (sp-ICP-MS; whole-ecosystem addition experiment)</t>
  </si>
  <si>
    <t xml:space="preserve">Rearick et al. 2018; Slongo et al. 2022</t>
  </si>
  <si>
    <t xml:space="preserve">10.1371/journal.pone.0201412</t>
  </si>
  <si>
    <t xml:space="preserve">Intentional addition: ~9 kg AgNP added June-Oct 2014; TAg reached ~10 µg/L max; dissolved Ag &lt;0.4 µg/L. Mean TAg ~4 µg/L during addition. Listed as experimental, not ambient.</t>
  </si>
  <si>
    <t xml:space="preserve">European rivers (typical modeled ambient, Johnson et al.)</t>
  </si>
  <si>
    <t xml:space="preserve">Modeled AgNP (GWAVA model)</t>
  </si>
  <si>
    <t xml:space="preserve">Johnson et al. 2014</t>
  </si>
  <si>
    <t xml:space="preserve">10.1016/j.envpol.2014.10.022</t>
  </si>
  <si>
    <t xml:space="preserve">Median European river; 50th percentile long-term average concentration 0.002 ng/L nano-Ag; 10th percentile most exposed rivers &gt;0.18 ng/L</t>
  </si>
  <si>
    <t xml:space="preserve">WWTP effluent (Switzerland/Germany typical)</t>
  </si>
  <si>
    <t xml:space="preserve">AgNP + dissolved Ag (sp-ICP-MS; WWTP effluent)</t>
  </si>
  <si>
    <t xml:space="preserve">Mitrano et al. cited in RSC chapter 2022; Burkhardt 2012</t>
  </si>
  <si>
    <t xml:space="preserve">Mitrano et al.: 100 ng/L Ag-NPs + 60 ng/L dissolved Ag in effluent; influent 200 ng/L Ag-NPs + 520 ng/L dissolved Ag. Effluent midpoint ~200 ng/L total.</t>
  </si>
  <si>
    <t xml:space="preserve">Layer 2 — Modeled AgNP Predicted Environmental Concentrations (PEC)</t>
  </si>
  <si>
    <t xml:space="preserve">Region Name</t>
  </si>
  <si>
    <t xml:space="preserve">PEC Median (ng/L)</t>
  </si>
  <si>
    <t xml:space="preserve">PEC High (ng/L)</t>
  </si>
  <si>
    <t xml:space="preserve">Model / Source</t>
  </si>
  <si>
    <t xml:space="preserve">Europe (EU27) - Surface Water (median river reach)</t>
  </si>
  <si>
    <t xml:space="preserve">Probabilistic Material Flow Analysis (PMFA)</t>
  </si>
  <si>
    <t xml:space="preserve">Gottschalk et al. 2009</t>
  </si>
  <si>
    <t xml:space="preserve">10.1021/es9015553</t>
  </si>
  <si>
    <t xml:space="preserve">Mode = 0.76 ng/L (0.00000076 µg/L); 85th percentile = 2.16 ng/L. US surface water mode = 0.09-0.43 ng/L. Units converted from ng/L. Covers US, Europe and Switzerland.</t>
  </si>
  <si>
    <t xml:space="preserve">United States - Surface Water</t>
  </si>
  <si>
    <t xml:space="preserve">US surface water PEC range 0.09-0.43 ng/L (lower than EU due to different production/population scaling). Mode = ~0.09 ng/L; 85th %ile ~ 0.43 ng/L.</t>
  </si>
  <si>
    <t xml:space="preserve">Switzerland - Surface Water (median)</t>
  </si>
  <si>
    <t xml:space="preserve">Spatially explicit PMFA (Swiss rivers)</t>
  </si>
  <si>
    <t xml:space="preserve">Gottschalk et al. 2011</t>
  </si>
  <si>
    <t xml:space="preserve">10.1016/j.envpol.2011.07.005</t>
  </si>
  <si>
    <t xml:space="preserve">Median PEC 3 ng/L (conservative), range 3-1600 ng/L across river sections (factor 1000 spatial variation). High scenario (95th percentile across space/time) ~8-10 ng/L. Reported in Dumont 2015 Table 3 as 8-10 ng/L range for Switzerland.</t>
  </si>
  <si>
    <t xml:space="preserve">Switzerland - River Courroux (Délemont, Jura)</t>
  </si>
  <si>
    <t xml:space="preserve">Spatially explicit PMFA (Swiss rivers) with sedimentation</t>
  </si>
  <si>
    <t xml:space="preserve">Representative small river section in Swiss Jura. PEC near PNEC of 0.7 ng/L. Sedimentation scenario. Values estimated from figure in Gottschalk 2010 Normandata presentation showing exceedance of PNEC=0.7 ng/L.</t>
  </si>
  <si>
    <t xml:space="preserve">Rhine River, Central Europe</t>
  </si>
  <si>
    <t xml:space="preserve">Silver mass flow analysis (AgNP in textiles/plastics)</t>
  </si>
  <si>
    <t xml:space="preserve">10.1016/j.scitotenv.2007.11.020</t>
  </si>
  <si>
    <t xml:space="preserve">Modeled total Ag concentrations in Rhine River 40-320 ng/L for maximum scenario in 2010; 4-40 ng/L for lower scenario. Accounts for 15% of total silver release from textiles/plastics. Median ~ 10 ng/L, high ~ 320 ng/L.</t>
  </si>
  <si>
    <t xml:space="preserve">Europe (EU27) - Surface Water (50th percentile river reach, expected scenario)</t>
  </si>
  <si>
    <t xml:space="preserve">GWAVA hydrological model (NanoFATE project)</t>
  </si>
  <si>
    <t xml:space="preserve">Dumont et al. 2015</t>
  </si>
  <si>
    <t xml:space="preserve">10.1016/j.envpol.2014.10.010</t>
  </si>
  <si>
    <t xml:space="preserve">50% of EU river stretches have long-term average concentrations &gt;0.002 ng/L. 10% most exposed reaches &gt;0.18 ng/L (median). Worst-case 90th %ile ~0.3 ng/L. Highest concentrations in E/S Europe near cities. Model: 5'x5' grid, 31-year monthly hydrology.</t>
  </si>
  <si>
    <t xml:space="preserve">England and Wales - Rivers (typical)</t>
  </si>
  <si>
    <t xml:space="preserve">LF2000-WQX model</t>
  </si>
  <si>
    <t xml:space="preserve">10.1016/j.chemosphere.2014.03.039</t>
  </si>
  <si>
    <t xml:space="preserve">LF2000-WQX predictions for all rivers of England and Wales typically 0-1 ng/L. Mode ~0.55 ng/L for England &amp; Wales. Dumont 2015 reports their highest value as 0.55 ng/L. Particulate and colloidal Ag in sewage effluent and sludge study.</t>
  </si>
  <si>
    <t xml:space="preserve">United Kingdom - Surface Water (Boxall worst-case)</t>
  </si>
  <si>
    <t xml:space="preserve">First-generation ENM release model</t>
  </si>
  <si>
    <t xml:space="preserve">Boxall et al. 2007</t>
  </si>
  <si>
    <t xml:space="preserve">10.1021/es062013n</t>
  </si>
  <si>
    <t xml:space="preserve">Worst-case UK estimate 100 ng/L (high scenario). This is considered a significant overestimate by later work (Dumont 2015 reports it as 100 ng/L vs their modelled 0.016 ng/L). Included for completeness as an upper bound.</t>
  </si>
  <si>
    <t xml:space="preserve">Europe (EU) - Surface Water (Sun et al. expected, MFA mode)</t>
  </si>
  <si>
    <t xml:space="preserve">Comprehensive probabilistic MFA (EU)</t>
  </si>
  <si>
    <t xml:space="preserve">Sun et al. 2014</t>
  </si>
  <si>
    <t xml:space="preserve">10.1016/j.envpol.2013.11.048</t>
  </si>
  <si>
    <t xml:space="preserve">EU surface water nano-Ag mode = 16 ng/L (no-sedimentation scenario); expected (mode) = 0.66 ng/L with sedimentation. Sun et al. 2014 updates Gottschalk 2009 with lower production estimates and transformation reactions. Dumont 2015 Table 3 reports Sun 2014 as 0.66 ng/L expected EU.</t>
  </si>
  <si>
    <t xml:space="preserve">Germany - STP Effluent / surface water receiving</t>
  </si>
  <si>
    <t xml:space="preserve">GWAVA / PMFA (STP effluent concentration)</t>
  </si>
  <si>
    <t xml:space="preserve">Expected nano-Ag effluent concentration modelled for Germany = 25 ng/L (somewhat above measured 0.3-14 ng/L in German STPs by Li et al. 2013). Represents near-STP receiving water.</t>
  </si>
  <si>
    <t xml:space="preserve">Europe - Surface Water (Bornhöft 2016 dynamic model, Germany ~2017)</t>
  </si>
  <si>
    <t xml:space="preserve">Dynamic Probabilistic Material Flow Analysis (DPMFA)</t>
  </si>
  <si>
    <t xml:space="preserve">Bornhöft et al. 2016</t>
  </si>
  <si>
    <t xml:space="preserve">10.1021/acs.est.5b05828</t>
  </si>
  <si>
    <t xml:space="preserve">Dynamic model for EU; nano-Ag freshwater in 2017 ranges from a few pg/L to some ng/L. Most probable range ~0.5-1 ng/L freshwater. Future concentrations 2030 ~2x higher, 2050 ~6x higher. Sediment accumulation dominant fate.</t>
  </si>
  <si>
    <t xml:space="preserve">Europe - Marine Water (North Sea / Atlantic coast)</t>
  </si>
  <si>
    <t xml:space="preserve">SW</t>
  </si>
  <si>
    <t xml:space="preserve">Marine PECs for Ag-ENMs reveal marginal values below pg/L levels. In 2050 at highest extremes up to 1 pg/L. Marine concentrations ~10x lower than freshwater. EOL-based exposure only for seawater.</t>
  </si>
  <si>
    <t xml:space="preserve">Global Ocean (open ocean average)</t>
  </si>
  <si>
    <t xml:space="preserve">Marine water concentrations expected far below pg/L globally due to dilution in ocean volume. Sediment is primary sink. Offshore/open ocean values are orders of magnitude below coastal estimates.</t>
  </si>
  <si>
    <t xml:space="preserve">Europe - Treated Wastewater Effluent (STP output)</t>
  </si>
  <si>
    <t xml:space="preserve">EU STP effluent nano-Ag mode = 43 ng/L (0.000043 µg/L); 85th percentile = 111 ng/L. Risk for nano-Ag in STP effluents ~39.7% (Gottschalk 2013). This represents near-STP point-source conditions before dilution in rivers.</t>
  </si>
  <si>
    <t xml:space="preserve">Switzerland - Surface Water (SimpleBox4nano steady-state)</t>
  </si>
  <si>
    <t xml:space="preserve">SimpleBox4Nano (SB4N)</t>
  </si>
  <si>
    <t xml:space="preserve">Meesters et al. 2014</t>
  </si>
  <si>
    <t xml:space="preserve">10.1021/es500548h</t>
  </si>
  <si>
    <t xml:space="preserve">SB4N applied to Switzerland TiO2 scenario from Mueller &amp; Nowack (2008). For nano-TiO2 water: total 0.61 µg/L (1-yr PEC). Nano-Ag is ~1000x lower than TiO2 per production ratio. Nano-Ag surface water steady-state ~0.61-1.5 ng/L using scaling from SB4N framework and Ag/TiO2 production ratios.</t>
  </si>
  <si>
    <t xml:space="preserve">San Francisco Bay Area, California, USA</t>
  </si>
  <si>
    <t xml:space="preserve">Life-cycle approach MFA (global/regional/local)</t>
  </si>
  <si>
    <t xml:space="preserve">Keller &amp; Lazareva 2014</t>
  </si>
  <si>
    <t xml:space="preserve">10.1021/ez400106t</t>
  </si>
  <si>
    <t xml:space="preserve">WWTP effluent concentrations for SF Bay area range from low ng/L to µg/L depending on ENM type. Nano-Ag wastewater effluent estimated in low ng/L range (~15-150 ng/L) for SF Bay receiving water. Keller 2013 reports 0.03-0.32 µg/L for US waters (Batley et al. 2013).</t>
  </si>
  <si>
    <t xml:space="preserve">United States - Freshwater (Keller et al. summary range)</t>
  </si>
  <si>
    <t xml:space="preserve">Life-cycle MFA (global/regional/US)</t>
  </si>
  <si>
    <t xml:space="preserve">Keller et al. 2013</t>
  </si>
  <si>
    <t xml:space="preserve">10.1007/s11051-013-1692-4</t>
  </si>
  <si>
    <t xml:space="preserve">US surface water nano-Ag concentrations estimated at 0.03-0.32 µg/L (30-320 ng/L). This is higher than European estimates and reflects different production volume assumptions. Cited in Australian freshwater toxicity context (Batley et al. 2013).</t>
  </si>
  <si>
    <t xml:space="preserve">James River Basin, Virginia, USA</t>
  </si>
  <si>
    <t xml:space="preserve">WASP7 watershed fate model</t>
  </si>
  <si>
    <t xml:space="preserve">Garner et al. 2015</t>
  </si>
  <si>
    <t xml:space="preserve">10.1021/acs.est.5b01205</t>
  </si>
  <si>
    <t xml:space="preserve">Spatially resolved WASP7 model for AgNPs and ZnO NPs in James River Basin, Virginia. &lt;6% of NP-derived metals retained in river/sediment due to high transport. Average NP-derived metal concentrations in sediment vary spatially up to 9 orders of magnitude. Agricultural runoff contributes 23% of total metal stream loads. Water column concentrations in ng/L range (order 1-10 ng/L estimated from context).</t>
  </si>
  <si>
    <t xml:space="preserve">Western Europe (high-density, near-STP, worst-case)</t>
  </si>
  <si>
    <t xml:space="preserve">GWAVA (NanoFATE) worst-case scenario</t>
  </si>
  <si>
    <t xml:space="preserve">10% most exposed reaches in worst-case scenario (Belgium/Netherlands/NW Germany area, densely populated): 90th percentile 0.3 ng/L expected vs 2.3+ ng/L worst case (13x higher). Highest concentrations near large cities and downstream.</t>
  </si>
  <si>
    <t xml:space="preserve">Scandinavia / Northern Europe (low-density, sparsely populated)</t>
  </si>
  <si>
    <t xml:space="preserve">GWAVA (NanoFATE)</t>
  </si>
  <si>
    <t xml:space="preserve">Sparsely populated regions (Iceland, Scandinavia, Scotland) show lowest 90th percentile concentrations for nano-Ag. Far below detection. Values represent background rural freshwater.</t>
  </si>
  <si>
    <t xml:space="preserve">Eastern / Southern Europe (urban rivers, e.g. Danube, Vistula)</t>
  </si>
  <si>
    <t xml:space="preserve">Eastern/Southern Europe shows increased concentrations due to low summer water discharge (less dilution). Concentrations higher in July-August. Highest 90th percentile reaches ~0.3 ng/L. Low STP treatment efficiency in some areas also raises concentrations.</t>
  </si>
  <si>
    <t xml:space="preserve">Mediterranean Coastal Waters (SW - e.g. Adriatic, Mediterranean Sea)</t>
  </si>
  <si>
    <t xml:space="preserve">PMFA + coastal dilution extrapolation</t>
  </si>
  <si>
    <t xml:space="preserve">Gottschalk et al. 2009 / Bornhöft et al. 2016</t>
  </si>
  <si>
    <t xml:space="preserve">Marine coastal water concentrations extrapolated from riverine inputs. Typically 2-3 orders of magnitude lower than freshwater input concentrations due to coastal dilution. Nano-Ag marine concentrations estimated sub-pg/L to low pg/L range for Mediterranean.</t>
  </si>
  <si>
    <t xml:space="preserve">Australia / Oceania - Freshwater (estimated, based on production scaling)</t>
  </si>
  <si>
    <t xml:space="preserve">Species sensitivity distribution / risk assessment context</t>
  </si>
  <si>
    <t xml:space="preserve">Batley et al. 2013 / Garner et al. 2015</t>
  </si>
  <si>
    <t xml:space="preserve">10.1897/12-560.1</t>
  </si>
  <si>
    <t xml:space="preserve">PNEC for nano-Ag freshwater ~0.168 µg/L (Loureiro &amp; van Gestel 2013). Australian freshwater PECs cited in context of Keller et al. 2013 range (0.03-0.32 µg/L). Lower-end estimates for Australia (smaller population, lower ENM consumption). Conservative 0.1-0.5 ng/L based on production-scaling approach.</t>
  </si>
  <si>
    <t xml:space="preserve">Asia (China, East Asian rivers - estimated, high-production region)</t>
  </si>
  <si>
    <t xml:space="preserve">Extrapolated from global MFA (Keller 2014) regional scaling</t>
  </si>
  <si>
    <t xml:space="preserve">Keller &amp; Lazareva 2014 / Gottschalk et al. 2009</t>
  </si>
  <si>
    <t xml:space="preserve">Asia (China, South Korea, Japan) is a major production/use region for AgNPs, particularly in textiles and antimicrobial products. Keller 2014 uses 8 world regions including Asia. China/East Asia estimated at 1-10 ng/L surface water based on high per-capita production (~similar to or exceeding US). Gao et al. 2022 applied multi-media model to Xiangjiang River, China.</t>
  </si>
  <si>
    <t xml:space="preserve">Malaysia - Urban rivers (measured + modelled)</t>
  </si>
  <si>
    <t xml:space="preserve">Field measurement study (not purely modelled)</t>
  </si>
  <si>
    <t xml:space="preserve">Ong et al. 2018</t>
  </si>
  <si>
    <t xml:space="preserve">MEASURED (not modelled PEC): AgNP concentrations in Malaysian rivers 0.13-10.16 mg/L (industrial river) and 0.10-9.63 mg/L (residential river). Highest in July (dry season). Very high concentrations vs modelled European values - likely reflects high industrial use and poor wastewater treatment. These are measured values, not model outputs, but included for comparison.</t>
  </si>
  <si>
    <t xml:space="preserve">Global - Freshwater (median estimate, all regions)</t>
  </si>
  <si>
    <t xml:space="preserve">Global life-cycle MFA synthesis</t>
  </si>
  <si>
    <t xml:space="preserve">Keller et al. 2013 / Sun et al. 2014</t>
  </si>
  <si>
    <t xml:space="preserve">Global median surface water nano-Ag estimate synthesizing multiple model outputs. Conservative median ~0.16 ng/L, high (90th percentile) ~1 ng/L. Keller 2013 estimated 63-91% of ENM production ends in landfills with balance to soils; water pathway receives small fraction. Global freshwater dilution volume is large.</t>
  </si>
  <si>
    <t xml:space="preserve">Europe - Freshwater (Hong &amp; Nowack 2021 form-specific ERA, mean total)</t>
  </si>
  <si>
    <t xml:space="preserve">Form-specific Material Flow Analysis (MFA) + ERA</t>
  </si>
  <si>
    <t xml:space="preserve">Hong et al. 2021</t>
  </si>
  <si>
    <t xml:space="preserve">10.1002/etc.5146</t>
  </si>
  <si>
    <t xml:space="preserve">Mean total nano-Ag PEC in European freshwater = 0.0012 µg/L (including pristine 0.00022, dissolved 0.00026, transformed 0.00064, surface-protruding 3.5e-7, matrix-embedded 8.8e-5 µg/L). This is the most recent form-specific estimate for Europe. High estimate based on 95th percentile of distribution.</t>
  </si>
  <si>
    <t xml:space="preserve">North America (Canada - freshwater estimate)</t>
  </si>
  <si>
    <t xml:space="preserve">MFA scaling from US estimates</t>
  </si>
  <si>
    <t xml:space="preserve">Gottschalk et al. 2009 / Keller et al. 2013</t>
  </si>
  <si>
    <t xml:space="preserve">Canada estimated using US-equivalent scaling. Lower than US due to larger river volumes. Range 10-100 ng/L for receiving waters near urban/industrial centres. Based on Gottschalk 2009 US range and adjusting for Canadian population density and water body dilution.</t>
  </si>
  <si>
    <t xml:space="preserve">South/Latin America - Freshwater (estimated, lower production)</t>
  </si>
  <si>
    <t xml:space="preserve">Global MFA regional scaling (Keller 2014)</t>
  </si>
  <si>
    <t xml:space="preserve">Latin America included in Keller 2014 8-region global MFA. Lower nano-Ag production/consumption vs North America/Europe/Asia. Estimated 0.2-1 ng/L surface water based on proportional scaling. Amazon dilution reduces concentrations further.</t>
  </si>
  <si>
    <t xml:space="preserve">Sub-Saharan Africa - Freshwater (estimated, lowest production)</t>
  </si>
  <si>
    <t xml:space="preserve">Sub-Saharan Africa has low ENM production/consumption. Keller 2014 8-region model includes Rest of World (ROW) category. Estimated 0.05-0.2 ng/L. Low wastewater treatment rates could locally elevate near-urban concentrations.</t>
  </si>
  <si>
    <t xml:space="preserve">Middle East / North Africa - Freshwater (estimated)</t>
  </si>
  <si>
    <t xml:space="preserve">MENA region includes growing nano-Ag use in medical/textile products. Low river flows (arid region) reduce dilution, potentially elevating local concentrations. Estimated 0.15-0.7 ng/L.</t>
  </si>
  <si>
    <t xml:space="preserve">Layer 3 — Aquatic Species at Risk  (25 species, 126 range points)</t>
  </si>
  <si>
    <t xml:space="preserve">Common Name</t>
  </si>
  <si>
    <t xml:space="preserve">Scientific Name</t>
  </si>
  <si>
    <t xml:space="preserve">Habitat</t>
  </si>
  <si>
    <t xml:space="preserve">Marker Type</t>
  </si>
  <si>
    <t xml:space="preserve">LC50 (mg/L)</t>
  </si>
  <si>
    <t xml:space="preserve">Exposure (h)</t>
  </si>
  <si>
    <t xml:space="preserve">AgNP Size (nm)</t>
  </si>
  <si>
    <t xml:space="preserve">AgNP Coating</t>
  </si>
  <si>
    <t xml:space="preserve">Exposure Water / Salinity</t>
  </si>
  <si>
    <t xml:space="preserve">Water flea</t>
  </si>
  <si>
    <t xml:space="preserve">Daphnia magna</t>
  </si>
  <si>
    <t xml:space="preserve">◆ Field-tested</t>
  </si>
  <si>
    <t xml:space="preserve">citrate</t>
  </si>
  <si>
    <t xml:space="preserve">See Notes</t>
  </si>
  <si>
    <t xml:space="preserve">Asghari et al. 2012</t>
  </si>
  <si>
    <t xml:space="preserve">10.1186/1477-3155-10-14</t>
  </si>
  <si>
    <t xml:space="preserve">48-h EC50 (immobilization) = 0.004 mg/L for citrate-capped 7 nm AgNPs (nAg1 colloid, ABC Nanotech). Range across studies: 0.001–0.232 mg/L depending on size and coating. This is the most sensitive standard test organism.</t>
  </si>
  <si>
    <t xml:space="preserve">Zebrafish</t>
  </si>
  <si>
    <t xml:space="preserve">Danio rerio</t>
  </si>
  <si>
    <t xml:space="preserve">PVP (polyvinylpyrrolidone)</t>
  </si>
  <si>
    <t xml:space="preserve">Bilberg et al. 2012</t>
  </si>
  <si>
    <t xml:space="preserve">10.1155/2012/293784</t>
  </si>
  <si>
    <t xml:space="preserve">48-h LC50 = 84 µg/L (0.084 mg/L) for PVP-coated 81 nm AgNPs in adult zebrafish static renewal study. Range across studies: 0.017–250 mg/L depending on size, coating, and life stage.</t>
  </si>
  <si>
    <t xml:space="preserve">Gulf killifish</t>
  </si>
  <si>
    <t xml:space="preserve">Fundulus grandis</t>
  </si>
  <si>
    <t xml:space="preserve">estuarine</t>
  </si>
  <si>
    <t xml:space="preserve">gum arabic (GA)</t>
  </si>
  <si>
    <t xml:space="preserve">Bone et al. 2015 (F. heteroclitus proxy)</t>
  </si>
  <si>
    <t xml:space="preserve">10.1002/etc.2806</t>
  </si>
  <si>
    <t xml:space="preserve">No dedicated AgNP LC50 study published specifically for F. grandis. Value estimated from related species F. heteroclitus data (Bone et al. 2015): significant mortality at 2 mg/L GA-AgNP in laboratory exposures of Fundulus early life stages over 48 h. F. grandis is the target study organism (Chad's s…</t>
  </si>
  <si>
    <t xml:space="preserve">Mummichog / Atlantic killifish</t>
  </si>
  <si>
    <t xml:space="preserve">Fundulus heteroclitus</t>
  </si>
  <si>
    <t xml:space="preserve">Bone et al. 2015</t>
  </si>
  <si>
    <t xml:space="preserve">Bone et al. 2015 mesocosm/lab study: significant mortality in larvae at 2 mg/L GA-AgNP (48 h). No clean sigmoidal LC50 published for this species. Embryos showed full protection in mesocosm conditions. Euryhaline species tested in brackish water (12 ppt) by Campbell et al. 2019 at 80 µg/L (no mortal…</t>
  </si>
  <si>
    <t xml:space="preserve">Rainbow trout</t>
  </si>
  <si>
    <t xml:space="preserve">Oncorhynchus mykiss</t>
  </si>
  <si>
    <t xml:space="preserve">colloidal (unspecified)</t>
  </si>
  <si>
    <t xml:space="preserve">Shahbazzadeh et al. 2009 (cited in Cho et al. 2013 table)</t>
  </si>
  <si>
    <t xml:space="preserve">10.1155/2013/494671</t>
  </si>
  <si>
    <t xml:space="preserve">96-h LC50 = 2.3 mg/L (Shahbazzadeh et al. 2009, cited widely). Johari et al. 2013 reports 96-h LC50 of 2.16 mg/L for colloidal AgNPs in juvenile rainbow trout. A separate study (Johari/Kalbassi) reports juvenile LC50 of 3.13 µg/mL (48 h). Values vary 0.25–8.9 mg/L depending on form and life stage.</t>
  </si>
  <si>
    <t xml:space="preserve">Fathead minnow</t>
  </si>
  <si>
    <t xml:space="preserve">Pimephales promelas</t>
  </si>
  <si>
    <t xml:space="preserve">none (uncoated)</t>
  </si>
  <si>
    <t xml:space="preserve">Reed et al. 2012</t>
  </si>
  <si>
    <t xml:space="preserve">10.1002/etc.1978</t>
  </si>
  <si>
    <t xml:space="preserve">96-h LC50 = 89.4 µg/L (0.0894 mg/L) for 10 nm uncoated AgNPs (Reed et al. 2012, Environ Toxicol Chem). Laban et al. 2010 reports embryo 96-h LC50 = 10.6 mg/L for ≤100 nm uncoated AgNPs — indicating embryos are less sensitive than larvae/juveniles for this species.</t>
  </si>
  <si>
    <t xml:space="preserve">Japanese medaka</t>
  </si>
  <si>
    <t xml:space="preserve">Oryzias latipes</t>
  </si>
  <si>
    <t xml:space="preserve">freshwater</t>
  </si>
  <si>
    <t xml:space="preserve">Cho et al. 2013</t>
  </si>
  <si>
    <t xml:space="preserve">96-h LC50 = 0.80 mg/L (0.65–0.96 CI) for citrate-capped AgNPs (~8 nm primary, 36.8 nm hydrodynamic in adults). Cho et al. 2013 also reports embryo 96-h LC50 = 0.84 mg/L. Kim et al. 2015 reports 96-h LC50 = 1.8 mg/L for 35 nm citrate AgNPs. Medaka tolerate brackish water but standardly tested in fres…</t>
  </si>
  <si>
    <t xml:space="preserve">Goldfish</t>
  </si>
  <si>
    <t xml:space="preserve">Carassius auratus</t>
  </si>
  <si>
    <t xml:space="preserve">Nanosil commercial product</t>
  </si>
  <si>
    <t xml:space="preserve">Jahanbakhshi et al. 2012 (via Hedayati et al.)</t>
  </si>
  <si>
    <t xml:space="preserve">10.5829/IDOSI.WJZ.2012.7.2.62129</t>
  </si>
  <si>
    <t xml:space="preserve">96-h LC50 = 83.9 mg/L for Iranian commercial nanosilver Nanosil (Jahanbakhshi/Hedayati et al. 2012). This high value reflects rapid aggregation of the commercial product — actual nanoparticle bioavailability was likely low. Goldfish are generally less sensitive to silver than salmonids. This value i…</t>
  </si>
  <si>
    <t xml:space="preserve">Mediterranean mussel</t>
  </si>
  <si>
    <t xml:space="preserve">Mytilus galloprovincialis</t>
  </si>
  <si>
    <t xml:space="preserve">marine</t>
  </si>
  <si>
    <t xml:space="preserve">maltose</t>
  </si>
  <si>
    <t xml:space="preserve">Katsumiti et al. 2015</t>
  </si>
  <si>
    <t xml:space="preserve">10.1371/journal.pone.0129039</t>
  </si>
  <si>
    <t xml:space="preserve">In vitro 24-h LC50 = 4.74 mg/L for 20 nm maltose-stabilized AgNPs in hemocytes (Katsumiti et al. 2015 Neutral Red assay). Embryo EC50 = 0.0237 mg/L (23.7 µg/L) for bare 47 nm AgNPs in embryo development test (Balbi et al. 2018, Aquat. Toxicol.). Adult survival LC50 (96 h AUC-based) ≈ 1.0 mg Ag·h/L f…</t>
  </si>
  <si>
    <t xml:space="preserve">Blue mussel</t>
  </si>
  <si>
    <t xml:space="preserve">Mytilus edulis</t>
  </si>
  <si>
    <t xml:space="preserve">PVP/PEI</t>
  </si>
  <si>
    <t xml:space="preserve">Duroudier et al. 2019</t>
  </si>
  <si>
    <t xml:space="preserve">10.1016/j.scitotenv.2018.11.181</t>
  </si>
  <si>
    <t xml:space="preserve">In vitro 24-h LC50 = 2.05 mg Ag/L for PVP/PEI-coated 5 nm AgNPs in hemocytes (Duroudier et al. 2019, Sci Total Environ). Immunotoxicity studies also conducted on gill tissue. No in vivo adult mortality LC50 published; embryo/larvae sensitivity data from related Mytilus spp. indicate EC50 values ~10–…</t>
  </si>
  <si>
    <t xml:space="preserve">Brine shrimp</t>
  </si>
  <si>
    <t xml:space="preserve">Artemia franciscana</t>
  </si>
  <si>
    <t xml:space="preserve">unspecified (spheres)</t>
  </si>
  <si>
    <t xml:space="preserve">Corsi et al. 2022 (meta-analysis)</t>
  </si>
  <si>
    <t xml:space="preserve">10.3389/fbioe.2022.836742</t>
  </si>
  <si>
    <t xml:space="preserve">48-h LC50 = 3.79 mg/L (2.28–6.29 CI) for AgNP nauplii, from meta-analysis of multiple studies (Corsi et al. 2022, Frontiers Bioeng.). 24-h LC50 = 9.96 mg/L. Standard marine ecotox test organism. A. franciscana found in saline and hypersaline lakes worldwide.</t>
  </si>
  <si>
    <t xml:space="preserve">Common carp</t>
  </si>
  <si>
    <t xml:space="preserve">Cyprinus carpio</t>
  </si>
  <si>
    <t xml:space="preserve">Nanocid commercial</t>
  </si>
  <si>
    <t xml:space="preserve">Hedayati et al. 2012 (via Cho et al. 2013 table)</t>
  </si>
  <si>
    <t xml:space="preserve">96-h LC50 = 0.43 mg/L for Nanocid AgNPs in common carp (Hedayati et al. 2012, referenced in multiple sources). A separate study by Lee et al. 2012 using citrate-capped AgNPs reports oxidative stress at 200 µg/L but does not provide a clean LC50. Freshwater species broadly distributed in Europe and A…</t>
  </si>
  <si>
    <t xml:space="preserve">Sea urchin (Mediterranean)</t>
  </si>
  <si>
    <t xml:space="preserve">Paracentrotus lividus</t>
  </si>
  <si>
    <t xml:space="preserve">none (bare)</t>
  </si>
  <si>
    <t xml:space="preserve">Gambardella et al. 2015 / Lyons et al. 2023</t>
  </si>
  <si>
    <t xml:space="preserve">10.3390/ijms24010745</t>
  </si>
  <si>
    <t xml:space="preserve">EC50 (significant malformations in embryo development test) at ~50–100 µg/L for 60 nm bare AgNPs (Gambardella et al. 2015, Mar Environ Res). LC50/EC50 for embryogenesis ~0.05–0.1 mg/L. Lyons et al. 2023 showed size-dependent effects (10-100 nm range). Widely used marine ecotox indicator.</t>
  </si>
  <si>
    <t xml:space="preserve">European whitefish</t>
  </si>
  <si>
    <t xml:space="preserve">Coregonus lavaretus</t>
  </si>
  <si>
    <t xml:space="preserve">▲ Literature-derived</t>
  </si>
  <si>
    <t xml:space="preserve">Vogt et al. 2021</t>
  </si>
  <si>
    <t xml:space="preserve">10.1080/15287394.2021.1988014</t>
  </si>
  <si>
    <t xml:space="preserve">LC50 0.51 mg/L in ISO medium (IS~12 mM, ~0.15‰ equiv.) from Vogt et al. 2021 8-week chronic exposure. Salinity derived from ionic strength. Alpine/subalpine lake species; highly sensitive cold-water salmonid. Additional values: 0.73 mg/L ASTM very hard water, 0.62 mg/L natural lake water.</t>
  </si>
  <si>
    <t xml:space="preserve">Golden alga (microalgae)</t>
  </si>
  <si>
    <t xml:space="preserve">Isochrysis galbana</t>
  </si>
  <si>
    <t xml:space="preserve">PVP (nanArgen™)</t>
  </si>
  <si>
    <t xml:space="preserve">Ale et al. 2025</t>
  </si>
  <si>
    <t xml:space="preserve">10.3390/toxics13050338</t>
  </si>
  <si>
    <t xml:space="preserve">72h EC50 = 0.22 mg/L at 35‰ seawater (Ale et al. 2025). Marine microalgae; primary producer; highly sensitive to AgNPs at full marine salinity. Confirms AgNP toxicity persists even at high [Cl⁻] where ionic silver is scavenged as AgCl.</t>
  </si>
  <si>
    <t xml:space="preserve">Tambaqui</t>
  </si>
  <si>
    <t xml:space="preserve">Colossoma macropomum</t>
  </si>
  <si>
    <t xml:space="preserve">PVA</t>
  </si>
  <si>
    <t xml:space="preserve">culture water</t>
  </si>
  <si>
    <t xml:space="preserve">Meneses et al. 2024</t>
  </si>
  <si>
    <t xml:space="preserve">10.1590/0001-3765202420230413</t>
  </si>
  <si>
    <t xml:space="preserve">96h LC50 = 0.165 mg/L (PVA-AgNP, ~30 nm) in juvenile tambaqui; freshwater aquaculture water (~0.01–0.05‰ equiv.). Classified highly toxic. Important Amazonian aquaculture and wild fisheries species. Meneses et al. 2024, Anais Acad. Bras. Ciências.</t>
  </si>
  <si>
    <t xml:space="preserve">Curimbatá / Sábalo</t>
  </si>
  <si>
    <t xml:space="preserve">Prochilodus lineatus</t>
  </si>
  <si>
    <t xml:space="preserve">Benitez-Villalba et al. 2018</t>
  </si>
  <si>
    <t xml:space="preserve">10.1016/j.ecolind.2017.11.010</t>
  </si>
  <si>
    <t xml:space="preserve">No formal LC50 published; significant mortality/sublethal effects at 25 µg/L (0.025 mg/L) after 5–15 days. LC50 estimated &gt;0.025 mg/L; listed as ~0.05 mg/L (conservative estimate). Benitez-Villalba et al. 2018, Ecol. Indicators. Major migratory fish of Paraná-La Plata basin; benthic detritivore with…</t>
  </si>
  <si>
    <t xml:space="preserve">Nile tilapia</t>
  </si>
  <si>
    <t xml:space="preserve">Oreochromis niloticus</t>
  </si>
  <si>
    <t xml:space="preserve">biogenic (Aspergillus)</t>
  </si>
  <si>
    <t xml:space="preserve">0.1‰</t>
  </si>
  <si>
    <t xml:space="preserve">Tahoun et al. 2025</t>
  </si>
  <si>
    <t xml:space="preserve">10.1039/d4en01125b</t>
  </si>
  <si>
    <t xml:space="preserve">96h LC50 = 8.8 µM (~0.95 mg/L) for biogenic Aspergillus-synthesized AgNPs; freshwater test medium (≈tap water, &lt;0.1‰). Tahoun et al. 2025, RSC Environ. Sci. Note: earlier study (Hussein et al. 2016) reported 19.5 mg/L for bare AgNPs in tap water — likely aggregation artefact. Most commercially impor…</t>
  </si>
  <si>
    <t xml:space="preserve">African catfish</t>
  </si>
  <si>
    <t xml:space="preserve">Clarias gariepinus</t>
  </si>
  <si>
    <t xml:space="preserve">Mahmoud et al. 2019</t>
  </si>
  <si>
    <t xml:space="preserve">10.1016/j.ecoenv.2019.01.011</t>
  </si>
  <si>
    <t xml:space="preserve">No formal 96h LC50 published; significant nephrotoxic and hemotoxic effects at 10–100 µg/L (0.01–0.1 mg/L). LC50 estimated ~0.1 mg/L (conservative lower bound). Mahmoud et al. 2019, Ecotox. Environ. Saf. Highly relevant: aquaculture species across sub-Saharan Africa and North Africa; air-breathing c…</t>
  </si>
  <si>
    <t xml:space="preserve">Water flea (southern)</t>
  </si>
  <si>
    <t xml:space="preserve">Daphnia carinata</t>
  </si>
  <si>
    <t xml:space="preserve">PVP</t>
  </si>
  <si>
    <t xml:space="preserve">Lekamge et al. 2018 Environ. Sci. Nano</t>
  </si>
  <si>
    <t xml:space="preserve">10.1039/C7EN01024A</t>
  </si>
  <si>
    <t xml:space="preserve">48h LC50 = 0.003 mg/L (3 µg/L) PVP-AgNPs in reconstituted freshwater. Extremely sensitive — among most sensitive test organisms globally. Lekamge et al. 2018 RMIT (Environ. Sci. Nano). Native to Australia, Southeast Asia, India.</t>
  </si>
  <si>
    <t xml:space="preserve">Australian freshwater shrimp</t>
  </si>
  <si>
    <t xml:space="preserve">Paratya australiensis</t>
  </si>
  <si>
    <t xml:space="preserve">Lekamge et al. 2018 Environ. Sci. Nano; Lekamge et al. 2020 Environ. Toxicol. Chem.</t>
  </si>
  <si>
    <t xml:space="preserve">96h LC50 = 0.011 mg/L PVP-AgNPs. Highly sensitive native Australian freshwater invertebrate; endemic to eastern/southern Australia. Lekamge et al. 2018 RMIT; coating aging study Lekamge et al. 2020 (PubMed 31900064) confirms toxicity increases as PVP weathers.</t>
  </si>
  <si>
    <t xml:space="preserve">Common hydra</t>
  </si>
  <si>
    <t xml:space="preserve">Hydra vulgaris</t>
  </si>
  <si>
    <t xml:space="preserve">96h LC50 = 0.085 mg/L PVP-AgNPs. Cosmopolitan cnidarian; widely used invertebrate toxicity model. Lekamge et al. 2018 RMIT. Found globally in temperate and subtropical freshwaters.</t>
  </si>
  <si>
    <t xml:space="preserve">Silver carp</t>
  </si>
  <si>
    <t xml:space="preserve">Hypophthalmichthys molitrix</t>
  </si>
  <si>
    <t xml:space="preserve">none (bare, Nanocid)</t>
  </si>
  <si>
    <t xml:space="preserve">0.5‰</t>
  </si>
  <si>
    <t xml:space="preserve">Hedayati et al. 2012 BJVM Trakia Univ. (bjvm.trakia-uni.bg)</t>
  </si>
  <si>
    <t xml:space="preserve">96h LC50 = 0.34 ppm AgNP (Nanocid commercial preparation, ~25 nm). Hedayati et al. 2012 BJVM Trakia Univ. Economically important carp species native to China; introduced widely across Asia, Middle East (Iran), and Eastern Europe. Fingerlings tested at 0.5‰ freshwater.</t>
  </si>
  <si>
    <t xml:space="preserve">Mozambique tilapia</t>
  </si>
  <si>
    <t xml:space="preserve">Oreochromis mossambicus</t>
  </si>
  <si>
    <t xml:space="preserve">freshwater/estuarine</t>
  </si>
  <si>
    <t xml:space="preserve">Murugesan et al. 2024 PMC10874924 (Sci. Rep.)</t>
  </si>
  <si>
    <t xml:space="preserve">10.1038/s41598-024-54012-4</t>
  </si>
  <si>
    <t xml:space="preserve">In vivo AgNP toxicity study showing hepatotoxicity and nephrotoxicity at sub-lethal doses. LC50 estimated ~3.2 mg/L from dose-response data in SRM Institute Chennai study (PMC10874924). Euryhaline species tolerating 0–50‰; native East Africa and Indian subcontinent; widely cultured. Critical for Ind…</t>
  </si>
  <si>
    <t xml:space="preserve">Ciliate (silver-lethal protist)</t>
  </si>
  <si>
    <t xml:space="preserve">Tetrahymena thermophila</t>
  </si>
  <si>
    <t xml:space="preserve">PVP (Argovit)</t>
  </si>
  <si>
    <t xml:space="preserve">Gutiérrez-Praena et al. 2019 Chemosphere (PubMed 31877275)</t>
  </si>
  <si>
    <t xml:space="preserve">10.1016/j.chemosphere.2019.124949</t>
  </si>
  <si>
    <t xml:space="preserve">LC50 = 796 ng/L (0.000796 mg/L) for Argovit AgNPs at 60 min exposure. Single most sensitive organism in any AgNP dataset. Mexican lab study (UNAM/CINVESTAV), freshwater ciliate model. Ag+ released → membrane disruption even at ng/L. Gutiérrez-Praena et al. 2019 PubMed 31877275. Cosmopolitan; occurs …</t>
  </si>
  <si>
    <t xml:space="preserve">Layer 4 — Global Estuarine Climate Shift Zones  (71 sites, SSP5-8.5 unless noted)</t>
  </si>
  <si>
    <t xml:space="preserve">Estuary / Site Name</t>
  </si>
  <si>
    <t xml:space="preserve">Direction</t>
  </si>
  <si>
    <t xml:space="preserve">Current Sal (‰)</t>
  </si>
  <si>
    <t xml:space="preserve">Projected Sal (‰)</t>
  </si>
  <si>
    <t xml:space="preserve">Δ Salinity (‰)</t>
  </si>
  <si>
    <t xml:space="preserve">% Change</t>
  </si>
  <si>
    <t xml:space="preserve">Enters Danger Zone?</t>
  </si>
  <si>
    <t xml:space="preserve">Scenario</t>
  </si>
  <si>
    <t xml:space="preserve">Horizon</t>
  </si>
  <si>
    <t xml:space="preserve">Risk Intensity</t>
  </si>
  <si>
    <t xml:space="preserve">Source Tier</t>
  </si>
  <si>
    <t xml:space="preserve">Chesapeake Bay – Upper James River (Chickahominy R. confluence zone)</t>
  </si>
  <si>
    <t xml:space="preserve">Salinizing</t>
  </si>
  <si>
    <t xml:space="preserve">YES</t>
  </si>
  <si>
    <t xml:space="preserve">SSP5-8.5</t>
  </si>
  <si>
    <t xml:space="preserve">primary</t>
  </si>
  <si>
    <t xml:space="preserve">Hong &amp; Shen 2012; Kang et al. 2019 (PMC10481908)</t>
  </si>
  <si>
    <t xml:space="preserve">10.1016/j.ecss.2023.108465</t>
  </si>
  <si>
    <t xml:space="preserve">Chesapeake Bay – Upper Bay (Susquehanna Flats transition zone)</t>
  </si>
  <si>
    <t xml:space="preserve">SSP2-4.5</t>
  </si>
  <si>
    <t xml:space="preserve">secondary</t>
  </si>
  <si>
    <t xml:space="preserve">Tian et al. 2021 (Chesapeake Bay Program Climate Resiliency WG); GFDL NOAA 2017</t>
  </si>
  <si>
    <t xml:space="preserve">10.2175/106143014X13896401301296</t>
  </si>
  <si>
    <t xml:space="preserve">San Francisco Bay-Delta – Suisun Bay</t>
  </si>
  <si>
    <t xml:space="preserve">Parker et al. 2011 (San Francisco Estuary &amp; Watershed Science 9(3)); Cloern et al. 2011 PLoS ONE</t>
  </si>
  <si>
    <t xml:space="preserve">10.15447/sfews.2011v9iss3art1</t>
  </si>
  <si>
    <t xml:space="preserve">San Francisco Bay-Delta – Sacramento-San Joaquin Delta (interior)</t>
  </si>
  <si>
    <t xml:space="preserve">Cloern et al. 2011 PLoS ONE doi:10.1371/journal.pone.0024465</t>
  </si>
  <si>
    <t xml:space="preserve">10.1371/journal.pone.0024465</t>
  </si>
  <si>
    <t xml:space="preserve">Lower Savannah River Estuary (South Carolina/Georgia border)</t>
  </si>
  <si>
    <t xml:space="preserve">Conrads et al. 2010 USGS; USGS SIR 2013-5036</t>
  </si>
  <si>
    <t xml:space="preserve">10.3133/sir20135036</t>
  </si>
  <si>
    <t xml:space="preserve">Pensacola Bay – Escambia Bay upper reach (Gulf of Mexico)</t>
  </si>
  <si>
    <t xml:space="preserve">Kang et al. 2019 Estuarine Coastal Shelf Sci (PMC10481908)</t>
  </si>
  <si>
    <t xml:space="preserve">10.1016/j.ecss.2019.106356</t>
  </si>
  <si>
    <t xml:space="preserve">Guadalquivir Estuary – upper reach (Seville, Spain)</t>
  </si>
  <si>
    <t xml:space="preserve">no</t>
  </si>
  <si>
    <t xml:space="preserve">Sirviente et al. 2025 Ocean Science doi:10.5194/os-21-515-2025; Dijkstra et al. 2024 Nature Commun. Earth Environ. doi:10.1038/s43247-024-01225-w</t>
  </si>
  <si>
    <t xml:space="preserve">10.5194/os-21-515-2025</t>
  </si>
  <si>
    <t xml:space="preserve">Gironde Estuary – tidal freshwater zone (Bordeaux, France)</t>
  </si>
  <si>
    <t xml:space="preserve">Dijkstra et al. 2024 Nature Commun. Earth Environ. doi:10.1038/s43247-024-01225-w</t>
  </si>
  <si>
    <t xml:space="preserve">10.1038/s43247-024-01225-w</t>
  </si>
  <si>
    <t xml:space="preserve">Loire Estuary – lower brackish zone (Nantes, France)</t>
  </si>
  <si>
    <t xml:space="preserve">Thames Estuary – tidal freshwater zone (Teddington-Richmond, England)</t>
  </si>
  <si>
    <t xml:space="preserve">Rhine-Meuse Delta – Hollandsche IJssel branch (Netherlands)</t>
  </si>
  <si>
    <t xml:space="preserve">Dijkstra et al. 2024 doi:10.1038/s43247-024-01225-w; Kranenburg et al. 2025 Nat Commun doi:10.1038/s41467-025-58783-6</t>
  </si>
  <si>
    <t xml:space="preserve">10.1038/s41467-025-58783-6</t>
  </si>
  <si>
    <t xml:space="preserve">Elbe Estuary – mesohaline transition (Hamburg, Germany)</t>
  </si>
  <si>
    <t xml:space="preserve">Tamar Estuary (Plymouth, England)</t>
  </si>
  <si>
    <t xml:space="preserve">Dijkstra et al. 2024 doi:10.1038/s43247-024-01225-w</t>
  </si>
  <si>
    <t xml:space="preserve">Po di Goro distributary estuary (Po Delta, Italy)</t>
  </si>
  <si>
    <t xml:space="preserve">Verri et al. 2024 Frontiers in Climate doi:10.3389/fclim.2024.1408038</t>
  </si>
  <si>
    <t xml:space="preserve">10.3389/fclim.2024.1408038</t>
  </si>
  <si>
    <t xml:space="preserve">Ebro Delta – Ebro River mouth (Catalonia, Spain)</t>
  </si>
  <si>
    <t xml:space="preserve">IPCC AR6 WGI Ch.9 (sea level) + MedECC 2020 (Mediterranean freshwater projections)</t>
  </si>
  <si>
    <t xml:space="preserve">Nile Delta – Rosetta Branch (Egypt)</t>
  </si>
  <si>
    <t xml:space="preserve">Hagage et al. 2022 (EGK/ScienceDirect review); Africa Climate Security Risk Assessment (weatheringrisk.org)</t>
  </si>
  <si>
    <t xml:space="preserve">Senegal River Estuary – Saint-Louis region (Senegal)</t>
  </si>
  <si>
    <t xml:space="preserve">CRC URI Vulnerability Assessment Central Coastal Senegal; IVM-RVO Africa Salinity Report 2024</t>
  </si>
  <si>
    <t xml:space="preserve">Gambia River Estuary – middle reach (The Gambia)</t>
  </si>
  <si>
    <t xml:space="preserve">RROIJ 2018 doi:10.4172/2347-7830.1000219; GCA Country Brief Gambia 2024</t>
  </si>
  <si>
    <t xml:space="preserve">Niger Delta – Forcados River Estuary (Nigeria)</t>
  </si>
  <si>
    <t xml:space="preserve">Abam 2001 (J Hydrogeology SciTechNol); IPCC AR6 WGII Ch.9 Africa</t>
  </si>
  <si>
    <t xml:space="preserve">Pangani Estuary (Tanzania)</t>
  </si>
  <si>
    <t xml:space="preserve">Kranenburg et al. 2025 Nat Commun doi:10.1038/s41467-025-58783-6; Tanzania State of the Coast 2024 (NEMC)</t>
  </si>
  <si>
    <t xml:space="preserve">Mekong Delta – Ham Luong and Co Chien distributaries (Vietnam)</t>
  </si>
  <si>
    <t xml:space="preserve">Eslami et al. 2021 Commun. Earth Environ. doi:10.1038/s43247-021-00208-5</t>
  </si>
  <si>
    <t xml:space="preserve">10.1038/s43247-021-00208-5</t>
  </si>
  <si>
    <t xml:space="preserve">Mekong Delta – upper tidal freshwater zone (Ben Tre Province, Vietnam)</t>
  </si>
  <si>
    <t xml:space="preserve">Ganges-Brahmaputra-Meghna Delta – Sundarbans tidal channels (Bangladesh southwest)</t>
  </si>
  <si>
    <t xml:space="preserve">Dasgupta et al. 2015 World Scientific; BDP 2100 Draft Report (LGED Bangladesh)</t>
  </si>
  <si>
    <t xml:space="preserve">Ganges-Brahmaputra Delta – Sibsa River (freshwater polders, Khulna district, Bangladesh)</t>
  </si>
  <si>
    <t xml:space="preserve">CGIAR IWMI Salinity Scaling Report 2025; Dasgupta et al. 2015 World Scientific</t>
  </si>
  <si>
    <t xml:space="preserve">Ayeyarwady (Irrawaddy) Delta – lower distributaries (Myanmar)</t>
  </si>
  <si>
    <t xml:space="preserve">MIMU 2015 Vulnerability &amp; Resilience Assessment Ayeyarwady Delta; IPCC AR6 WGII Ch.10 Asia</t>
  </si>
  <si>
    <t xml:space="preserve">Yangtze (Changjiang) Estuary – North Branch (China)</t>
  </si>
  <si>
    <t xml:space="preserve">Huang et al. 2024 (cited in Sirviente et al. 2025 OS); IPCC AR6 WGII Ch.10</t>
  </si>
  <si>
    <t xml:space="preserve">Pearl River Estuary – Modaomen Channel (Guangdong, China)</t>
  </si>
  <si>
    <t xml:space="preserve">Zhang et al. 2019 (NASA ADS doi:10.3724/SP.J.1231.2019.29.861); IPCC AR6 WGII Ch.10 Asia</t>
  </si>
  <si>
    <t xml:space="preserve">Chao Phraya Estuary (Bangkok, Thailand)</t>
  </si>
  <si>
    <t xml:space="preserve">Kranenburg et al. 2025 Nat Commun doi:10.1038/s41467-025-58783-6; Five Asian Mega-Deltas review 2024 (WhiteRose eprints)</t>
  </si>
  <si>
    <t xml:space="preserve">Logan-Albert Estuary (Moreton Bay, Queensland, Australia)</t>
  </si>
  <si>
    <t xml:space="preserve">Eccles et al. 2023 MODSIM Conference Proceedings (mssanz.org.au/modsim2023)</t>
  </si>
  <si>
    <t xml:space="preserve">South-east Australian coastal lagoons (intermittently open, NSW)</t>
  </si>
  <si>
    <t xml:space="preserve">Freshening</t>
  </si>
  <si>
    <t xml:space="preserve">Marzinelli et al. 2020 Nature Communications doi:10.1038/s41467-020-15366-5</t>
  </si>
  <si>
    <t xml:space="preserve">10.1038/s41467-020-15366-5</t>
  </si>
  <si>
    <t xml:space="preserve">Baltic Sea – Gulf of Finland coastal lagoons (Estonia/Finland border zone)</t>
  </si>
  <si>
    <t xml:space="preserve">Meier et al. 2022 (Climate Change Baltic Sea 2021); Norwegian IMR Report 2023</t>
  </si>
  <si>
    <t xml:space="preserve">Kattegat – Swedish coastal fjords (Gullmarn fjord, Sweden)</t>
  </si>
  <si>
    <t xml:space="preserve">Groger et al. 2019 (referenced in Norwegian IMR 2023 Report); Institute of Marine Research 2023</t>
  </si>
  <si>
    <t xml:space="preserve">Rio de la Plata Estuary – inner shallow zone (Argentina/Uruguay border)</t>
  </si>
  <si>
    <t xml:space="preserve">Nagy et al. 2006 (Coastal Adaptation Library, research.fit.edu); OAS La Plata Basin Climate Change report</t>
  </si>
  <si>
    <t xml:space="preserve">Amazon River – outer estuary (Marajo Island zone, Brazil)</t>
  </si>
  <si>
    <t xml:space="preserve">Scientific Reports 2024 PMC11319773 (Amazon savannization + global warming study)</t>
  </si>
  <si>
    <t xml:space="preserve">10.1038/s41598-024-70267-3</t>
  </si>
  <si>
    <t xml:space="preserve">Sao Francisco Canal – Sepetiba Bay (Rio de Janeiro State, Brazil)</t>
  </si>
  <si>
    <t xml:space="preserve">Oliveira et al. 2017 SCIRP doi:10.4236/jwarp.2017.95035</t>
  </si>
  <si>
    <t xml:space="preserve">10.4236/jwarp.2017.95035</t>
  </si>
  <si>
    <t xml:space="preserve">Orinoco Delta – outer distributaries (Venezuela)</t>
  </si>
  <si>
    <t xml:space="preserve">IPCC AR6 WGII Ch.12 Central and South America; IPCC AR6 WGII FactSheet CSA</t>
  </si>
  <si>
    <t xml:space="preserve">Zambezi Delta – Chinde distributary (Mozambique)</t>
  </si>
  <si>
    <t xml:space="preserve">CDKN Zambezi Climate Report; IPCC AR6 WGII Ch.9 Africa</t>
  </si>
  <si>
    <t xml:space="preserve">Limpopo River Estuary (Mozambique)</t>
  </si>
  <si>
    <t xml:space="preserve">IPCC AR6 WGII Ch.9 Africa; Kranenburg et al. 2025 (southern Africa estuaries)</t>
  </si>
  <si>
    <t xml:space="preserve">Orange River Estuary (South Africa/Namibia border)</t>
  </si>
  <si>
    <t xml:space="preserve">Kranenburg et al. 2025 doi:10.1038/s41467-025-58783-6 (southern Africa estuaries); IVM-RVO Africa Salinity Report 2024</t>
  </si>
  <si>
    <t xml:space="preserve">Incomati Estuary (Maputo Bay area, Mozambique/South Africa border)</t>
  </si>
  <si>
    <t xml:space="preserve">African estuaries review Pensoft EMT 2026 doi:10.3897/emt.183511; IPCC AR6 WGII Ch.9</t>
  </si>
  <si>
    <t xml:space="preserve">10.3897/emt.183511</t>
  </si>
  <si>
    <t xml:space="preserve">Mississippi River Delta – Southwest Pass (Louisiana, USA)</t>
  </si>
  <si>
    <t xml:space="preserve">USGS Coastal Salinity Index (pubs.usgs.gov/of/2019/1090); Kranenburg et al. 2025 doi:10.1038/s41467-025-58783-6</t>
  </si>
  <si>
    <t xml:space="preserve">Mobile Bay – Tensaw Delta (Alabama, Gulf of Mexico)</t>
  </si>
  <si>
    <t xml:space="preserve">Coastal Hazards in Cities Fact Sheets No.6 (IFRC preparecenter.org 2024)</t>
  </si>
  <si>
    <t xml:space="preserve">Waccamaw River – Atlantic Intracoastal Waterway (South Carolina, USA)</t>
  </si>
  <si>
    <t xml:space="preserve">Conrads et al. USGS SIR 2013-5036 doi:10.3133/sir20135036</t>
  </si>
  <si>
    <t xml:space="preserve">St. Johns River Estuary – tidal freshwater zone (Jacksonville, Florida)</t>
  </si>
  <si>
    <t xml:space="preserve">Baker et al. 2023 Frontiers Ecology Evolution doi:10.3389/fevo.2023.1167767</t>
  </si>
  <si>
    <t xml:space="preserve">10.3389/fevo.2023.1167767</t>
  </si>
  <si>
    <t xml:space="preserve">Chilika Lake (Odisha, India) – lagoon inlet zone</t>
  </si>
  <si>
    <t xml:space="preserve">grey</t>
  </si>
  <si>
    <t xml:space="preserve">IPCC AR6 WGII Ch.10 Asia coastal systems; Indian Ocean Regional Assessment</t>
  </si>
  <si>
    <t xml:space="preserve">Hooghly River Estuary – tidal freshwater zone (West Bengal, India)</t>
  </si>
  <si>
    <t xml:space="preserve">World Bank SLR Bangladesh/India 2023; IPCC AR6 WGII Ch.10 Asia</t>
  </si>
  <si>
    <t xml:space="preserve">Peel-Harvey Estuary (Western Australia)</t>
  </si>
  <si>
    <t xml:space="preserve">Climate Change in Australia (climatechangeinaustralia.gov.au); Meyer et al. 2024 GRL doi:10.1029/2024GL111380</t>
  </si>
  <si>
    <t xml:space="preserve">10.1029/2024GL111380</t>
  </si>
  <si>
    <t xml:space="preserve">Coorong Lagoon (South Australia)</t>
  </si>
  <si>
    <t xml:space="preserve">Climate Change in Australia coastal projections (climatechangeinaustralia.gov.au); Murray-Darling Basin Authority reports</t>
  </si>
  <si>
    <t xml:space="preserve">Clarence River Estuary (New South Wales, Australia)</t>
  </si>
  <si>
    <t xml:space="preserve">Waikato River Estuary – Port Waikato (Aotearoa/New Zealand)</t>
  </si>
  <si>
    <t xml:space="preserve">GNS Science NZ SeaRise Project (gns.cri.nz/research-projects/nz-searise); Bell et al. 2017 NZ Geoscience</t>
  </si>
  <si>
    <t xml:space="preserve">Baltic Sea – Gulf of Riga (Latvia/Estonia)</t>
  </si>
  <si>
    <t xml:space="preserve">Meier et al. 2022 Climate Change Baltic Sea 2021; Norwegian IMR Report 2023</t>
  </si>
  <si>
    <t xml:space="preserve">Danube Delta – Sulina Channel (Romania/Ukraine Black Sea coast)</t>
  </si>
  <si>
    <t xml:space="preserve">Dijkstra et al. 2024 doi:10.1038/s43247-024-01225-w (Danube excluded from salt intrusion model as highly stratified; SLR component applicable); IPCC AR6 WGII Ch.13 Europe</t>
  </si>
  <si>
    <t xml:space="preserve">Cauvery-Coleroon Delta estuary (Tamil Nadu, India)</t>
  </si>
  <si>
    <t xml:space="preserve">Coastal Hazards in Cities Fact Sheet 2024 (IFRC Chennai/Tamil Nadu section); IPCC AR6 WGII Ch.10</t>
  </si>
  <si>
    <t xml:space="preserve">Rufiji Delta estuary – lower tidal channels (Tanzania)</t>
  </si>
  <si>
    <t xml:space="preserve">Pensoft African Estuaries Review 2026 doi:10.3897/emt.183511; IPCC AR6 WGII Ch.9 Africa</t>
  </si>
  <si>
    <t xml:space="preserve">Nile Delta – Damietta Branch (Egypt)</t>
  </si>
  <si>
    <t xml:space="preserve">Nature 2025 African LME Sea Level (doi:10.1038/s43247-025-02965-z) — halosteric salinization negative SLR signal; reduced Nile discharge + high evaporation</t>
  </si>
  <si>
    <t xml:space="preserve">10.1038/s43247-025-02965-z</t>
  </si>
  <si>
    <t xml:space="preserve">Medjerda River Estuary – Gulf of Tunis (Tunisia)</t>
  </si>
  <si>
    <t xml:space="preserve">MedECC 2020 Mediterranean Experts on Climate Change (medecc.org); Nature 2025 African LME halosteric salinity trend (doi:10.1038/s43247-025-02965-z)</t>
  </si>
  <si>
    <t xml:space="preserve">Loukkos River Estuary (Larache, Morocco)</t>
  </si>
  <si>
    <t xml:space="preserve">MedECC 2020 Mediterranean Climate Change Assessment; IPCC AR6 WGII Ch.9 Africa (NW Africa drought projections)</t>
  </si>
  <si>
    <t xml:space="preserve">Chelif River Estuary (Algeria)</t>
  </si>
  <si>
    <t xml:space="preserve">MedECC 2020; IPCC AR6 WGII Ch.9 Africa — 25-30% precipitation decrease projected for Mediterranean Africa</t>
  </si>
  <si>
    <t xml:space="preserve">Swan River Estuary (Perth, Western Australia)</t>
  </si>
  <si>
    <t xml:space="preserve">Climate Change in Australia SW region projections (climatechangeinaustralia.gov.au) — southern regions show salinity increase under higher emissions; Perth rainfall -20% by 2090 RCP8.5</t>
  </si>
  <si>
    <t xml:space="preserve">Gippsland Lakes – Lake King inlet (Victoria, Australia)</t>
  </si>
  <si>
    <t xml:space="preserve">Scanes et al. 2020 University of Sydney — SE Australian estuaries warming 2x ocean rate; AdaptNSW 2025 (climatechange.environment.nsw.gov.au) SLR + reduced discharge</t>
  </si>
  <si>
    <t xml:space="preserve">Port River Estuary – inner Spencer Gulf (Adelaide, South Australia)</t>
  </si>
  <si>
    <t xml:space="preserve">CSIRO Climate projections for Australia southern regions; Murray-Darling Basin Authority 2019 long-term plan; Coorong/Spencer modelling</t>
  </si>
  <si>
    <t xml:space="preserve">Clive River Estuary – Hawke’s Bay (Aotearoa/New Zealand)</t>
  </si>
  <si>
    <t xml:space="preserve">GNS Science NZ SeaRise Project — explicitly models SLR-induced salinity at Hawke’s Bay river mouths and whitebait spawning sites (gns.cri.nz/research-projects/nz-searise)</t>
  </si>
  <si>
    <t xml:space="preserve">Pelorus Sound – Wairau River mouth (Marlborough, New Zealand)</t>
  </si>
  <si>
    <t xml:space="preserve">NZ Ministry for the Environment 2025 Ocean Report (environment.govt.nz) — SLR to reduce intertidal area 27-94% in 14 NZ estuaries by 2100; Pelorus Sound documented long-term warming</t>
  </si>
  <si>
    <t xml:space="preserve">São Francisco River Delta (Alagoas/Sergipe, NE Brazil)</t>
  </si>
  <si>
    <t xml:space="preserve">Mongabay 2020 + Cavalcante (UFAL) — dam-reduced discharge + 50% rainfall decrease projected; salinity already exceeds drinking water limits 9km upstream; aridification under RCP8.5</t>
  </si>
  <si>
    <t xml:space="preserve">Coreaú River Estuary (Ceará, NE Brazil) — seasonally hypersaline</t>
  </si>
  <si>
    <t xml:space="preserve">Valentim et al. 2018 ICHE Proceedings (repositorio.ufc.br/riufc/66812) — hypersaline 37-44 g/kg in dry season; NE Brazil projected -50% rainfall by 2100 under RCP8.5</t>
  </si>
  <si>
    <t xml:space="preserve">Guayas River Estuary (Guayaquil, Ecuador)</t>
  </si>
  <si>
    <t xml:space="preserve">IPCC AR6 WGII Ch.12 Central &amp; South America; Kranenburg et al. 2025 (western SA reduced discharge projected)</t>
  </si>
  <si>
    <t xml:space="preserve">Rimac River Estuary – Callao Bay (Lima, Peru)</t>
  </si>
  <si>
    <t xml:space="preserve">IPCC AR6 WGII Ch.12 Central &amp; South America — Andes glacier retreat reducing dry-season discharge; CESM-LE2 shows decreased low discharge SW South America</t>
  </si>
  <si>
    <t xml:space="preserve">Indus River Delta – lower Sindh coast (Pakistan)</t>
  </si>
  <si>
    <t xml:space="preserve">Al Jazeera 2025 (Indus delta salinity crisis); PMC11252955 (Heliyon 2024 SLR + saltwater intrusion modeling); ScienceDirect 2023 doi:10.1016/j.scitotenv.2023.164821 (saltwater intrusion Indus delta) — salinity increased ~70% since 1990; upstream dams reduced freshwater flow 90%</t>
  </si>
  <si>
    <t xml:space="preserve">10.1016/j.scitotenv.2023.164821</t>
  </si>
  <si>
    <t xml:space="preserve">Arabian (Persian) Gulf – inner basin (Bahrain/Qatar)</t>
  </si>
  <si>
    <t xml:space="preserve">CEFAS Marine Science Blog 2023 (marinescience.blog.gov.uk) — Gulf SST rising 0.4°C/decade, highest in world; evaporation-driven salinity increase documented; IPCC AR6 WGII Ch.10 Asia coastal systems</t>
  </si>
  <si>
    <t xml:space="preserve">Valdivia River Estuary (Los Ríos Region, Chile)</t>
  </si>
  <si>
    <t xml:space="preserve">Cerda et al. 2022 PubMed 35615208 — tidally forced saltwater intrusion Valdivia estuary; discharge decreased 2008-2019; SLR + reduced Andean snowmelt drive salinity upstream</t>
  </si>
  <si>
    <t xml:space="preserve">10.3390/w14132001</t>
  </si>
  <si>
    <t xml:space="preserve">Chiloé Archipelago – inner channels (Los Lagos, Chile)</t>
  </si>
  <si>
    <t xml:space="preserve">Island Studies Journal 2025 doi:10.24043/isj.138657 — climate change Chiloé: reduced rainfall + SLR increasing salinity in inland channels; salmon aquaculture at risk</t>
  </si>
  <si>
    <t xml:space="preserve">10.24043/isj.138657</t>
  </si>
  <si>
    <t xml:space="preserve">SUMMARY</t>
  </si>
  <si>
    <t xml:space="preserve">Methods, Derived Math &amp; Data Provenance</t>
  </si>
  <si>
    <t xml:space="preserve">§1 — LC50 V-Shape Curve  (F. heteroclitus DRC output — authoritative)</t>
  </si>
  <si>
    <t xml:space="preserve">Organism</t>
  </si>
  <si>
    <t xml:space="preserve">Fundulus heteroclitus (killifish), 96h acute AgNP / AgNO₃</t>
  </si>
  <si>
    <t xml:space="preserve">Test type</t>
  </si>
  <si>
    <t xml:space="preserve">Static renewal, 96h LC50, whole-body mortality endpoint</t>
  </si>
  <si>
    <t xml:space="preserve">DRC model</t>
  </si>
  <si>
    <t xml:space="preserve">R 'drc' package v3.0 — 4-parameter log-logistic LL.4</t>
  </si>
  <si>
    <t xml:space="preserve">Salinity tested (‰)</t>
  </si>
  <si>
    <t xml:space="preserve">0, 0.1, 0.5, 5.0, 10.0, 20.0</t>
  </si>
  <si>
    <t xml:space="preserve">AgNPs LC50 (mg/L)</t>
  </si>
  <si>
    <t xml:space="preserve">8.51, 10.99, 32.02, 61.02, 36.63, 39.35  — Λ shape, peak at 5‰</t>
  </si>
  <si>
    <t xml:space="preserve">AgNO₃ LC50 (mg/L)</t>
  </si>
  <si>
    <t xml:space="preserve">0.358, 0.597, 0.822, 0.271, 0.303, 0.359  — shallow V, dip at 5‰</t>
  </si>
  <si>
    <t xml:space="preserve">Key story</t>
  </si>
  <si>
    <t xml:space="preserve">~100× potency gap at all salinities. Gap narrows at 5‰ (estuarine sweet spot). AgNO₃ consistently MORE toxic than AgNPs in mg/L units — ionic Ag⁺ drives acute lethality.</t>
  </si>
  <si>
    <t xml:space="preserve">Potency Ratio (AgNPs÷AgNO₃)</t>
  </si>
  <si>
    <t xml:space="preserve">Interpretation</t>
  </si>
  <si>
    <t xml:space="preserve">FW — AgNPs 24× more resistant</t>
  </si>
  <si>
    <t xml:space="preserve">FW-brackish transition</t>
  </si>
  <si>
    <t xml:space="preserve">Transition zone</t>
  </si>
  <si>
    <t xml:space="preserve">Estuarine sweet spot — BOTH most toxic</t>
  </si>
  <si>
    <t xml:space="preserve">Post-peak, risk declining</t>
  </si>
  <si>
    <t xml:space="preserve">Marine buffer</t>
  </si>
  <si>
    <t xml:space="preserve">§2 — IDW Coastline Interpolation  (Climate Shift Layer visual rendering)</t>
  </si>
  <si>
    <t xml:space="preserve">Method</t>
  </si>
  <si>
    <t xml:space="preserve">Inverse Distance Weighting (IDW) — standard spatial interpolation</t>
  </si>
  <si>
    <t xml:space="preserve">Formula</t>
  </si>
  <si>
    <t xml:space="preserve">ẑ(x) = Σ[wᵢ·zᵢ] / Σ[wᵢ]   where   wᵢ = 1 / dᵢᵖ</t>
  </si>
  <si>
    <t xml:space="preserve">Power p</t>
  </si>
  <si>
    <t xml:space="preserve">p = 2  (standard; higher p = sharper local influence, less smoothing)</t>
  </si>
  <si>
    <t xml:space="preserve">Search radius</t>
  </si>
  <si>
    <t xml:space="preserve">3,000 km  (global — every coastal point influenced by nearest known estuaries)</t>
  </si>
  <si>
    <t xml:space="preserve">Baseline blend</t>
  </si>
  <si>
    <t xml:space="preserve">Ghost weight = 2 points at max radius with Δsal = 0.8‰ prevents zero-change dead zones on remote coasts</t>
  </si>
  <si>
    <t xml:space="preserve">Distance metric</t>
  </si>
  <si>
    <t xml:space="preserve">Haversine great-circle distance, R = 6,371 km</t>
  </si>
  <si>
    <t xml:space="preserve">Input geometry</t>
  </si>
  <si>
    <t xml:space="preserve">Natural Earth 110m coastline + river centerlines (naciscdn.org); densified to ≤2.5° segment length → 6,272 segments total</t>
  </si>
  <si>
    <t xml:space="preserve">Input data</t>
  </si>
  <si>
    <t xml:space="preserve">71 estuarine data points from L4. Each contributes Δsal = projected_sal − current_sal as interpolated value.</t>
  </si>
  <si>
    <t xml:space="preserve">Output</t>
  </si>
  <si>
    <t xml:space="preserve">Pre-colored GeoJSON (geojson_climate_lines.js, 1.4 MB). Each segment stores {delta, color_hex, opacity}. Rendered as MapLibre GL line layer.</t>
  </si>
  <si>
    <t xml:space="preserve">Color scale</t>
  </si>
  <si>
    <t xml:space="preserve">Teal = freshening | Yellow-green = Δ1–3‰ | Yellow = Δ3–5‰ | Orange = Δ5–10‰ | Red = Δ10+‰</t>
  </si>
  <si>
    <t xml:space="preserve">Limitation</t>
  </si>
  <si>
    <t xml:space="preserve">110m resolution is global/regional view only. Interpolation extrapolates where no data exists — treat unsampled remote coasts as model output, not measurement. Confidence degrades &gt;1,500km from nearest data point.</t>
  </si>
  <si>
    <t xml:space="preserve">§3 — Risk Intensity Score  (0–1 scalar for heatmap color weight)</t>
  </si>
  <si>
    <t xml:space="preserve">Purpose</t>
  </si>
  <si>
    <t xml:space="preserve">Dimensionless 0–1 value used for color-mapping and heatmap kernel weight. Not a toxicological hazard quotient.</t>
  </si>
  <si>
    <t xml:space="preserve">L1 formula</t>
  </si>
  <si>
    <t xml:space="preserve">intensity = log₁₀(AgNP_conc_ng_L + 1) / log₁₀(max_observed_conc + 1)</t>
  </si>
  <si>
    <t xml:space="preserve">L2 formula</t>
  </si>
  <si>
    <t xml:space="preserve">intensity = log₁₀(PEC_median_ng_L + 1) / log₁₀(max_PEC + 1)</t>
  </si>
  <si>
    <t xml:space="preserve">L4 formula</t>
  </si>
  <si>
    <t xml:space="preserve">intensity = |Δsalinity| / max(|Δsalinity|) across all 71 sites</t>
  </si>
  <si>
    <t xml:space="preserve">HQ note</t>
  </si>
  <si>
    <t xml:space="preserve">For actual hazard quotient: HQ = PEC / LC50. Use L2 PEC values against L3 LC50 values at the relevant salinity from the V-curve.</t>
  </si>
  <si>
    <t xml:space="preserve">§4 — Salinity Risk Thresholds  (V-curve informed color zones)</t>
  </si>
  <si>
    <t xml:space="preserve">Critical  0–1‰  (red)</t>
  </si>
  <si>
    <t xml:space="preserve">FW transition. AgNPs most toxic relative to AgNO₃. Most FW organisms have zero salt tolerance. Largest potency gap.</t>
  </si>
  <si>
    <t xml:space="preserve">High  ~5‰  (orange)</t>
  </si>
  <si>
    <t xml:space="preserve">Estuarine sweet spot. Both LC50 curves converge to minimum — both compounds simultaneously maximally toxic. Highest co-exposure risk.</t>
  </si>
  <si>
    <t xml:space="preserve">Moderate  1–5‰  (yellow)</t>
  </si>
  <si>
    <t xml:space="preserve">Transition zone. AgNPs toxicity rising toward 5‰ peak. Euryhaline species stressed by salinity shift.</t>
  </si>
  <si>
    <t xml:space="preserve">Elevated  5–10‰  (green)</t>
  </si>
  <si>
    <t xml:space="preserve">Post-peak. AgNPs LC50 declining. Marine/estuarine organisms entering native range.</t>
  </si>
  <si>
    <t xml:space="preserve">Baseline  &gt;10‰  (teal)</t>
  </si>
  <si>
    <t xml:space="preserve">Marine buffer. Both compounds approaching plateau. Still toxic but reduced relative risk vs. estuarine zone.</t>
  </si>
  <si>
    <t xml:space="preserve">Danger zone definition</t>
  </si>
  <si>
    <t xml:space="preserve">0–5‰: window where BOTH AgNPs AND AgNO₃ are simultaneously most toxic AND most FW organisms reside. enters_danger_zone = TRUE when projected salinity crosses into/out of this window.</t>
  </si>
  <si>
    <t xml:space="preserve">§5 — Primary Literature &amp; Data Sources</t>
  </si>
  <si>
    <t xml:space="preserve">L1 field measurements</t>
  </si>
  <si>
    <t xml:space="preserve">sp-ICP-MS verified sites. Loosli 2019; Hadioui 2019; Venkatesan 2018; Burkard 2019; Collins 2022. Rochester/Genesee River removed — total dissolved Ag⁺ only, not confirmed AgNP.</t>
  </si>
  <si>
    <t xml:space="preserve">L2 PEC models</t>
  </si>
  <si>
    <t xml:space="preserve">Gottschalk 2013 EST; Sun 2014 Env. Sci. Nano; Garner &amp; Keller 2014 J. Hazard. Mater.; Emfield 2022. Regional models weighted over global averages as primary.</t>
  </si>
  <si>
    <t xml:space="preserve">L3 species LC50</t>
  </si>
  <si>
    <t xml:space="preserve">ECOTOX database; Lekamge 2018 (D. carinata, P. australiensis, H. vulgaris — Australia); Hedayati 2012 BJVM (H. molitrix — Iran); Murugesan 2024 PMC10874924 (O. mossambicus — India); Gutiérrez-Praena 2019 PubMed 31877275 (Tetrahymena — Mexico); Laban 2010 (F. heteroclitus DRC).</t>
  </si>
  <si>
    <t xml:space="preserve">L4 climate data</t>
  </si>
  <si>
    <t xml:space="preserve">IPCC AR6 WGI/WGII; Dijkstra 2024 Nat. Commun. Earth Environ. doi:10.1038/s43247-024-01225-w; Kranenburg 2025 Nat. Commun. doi:10.1038/s41467-025-58783-6; MedECC 2020; Al Jazeera 2025 (Indus); CEFAS 2023 (Arabian Gulf); Cerda 2022 PubMed 35615208 (Valdivia); Island Studies J 2025 (Chiloé).</t>
  </si>
  <si>
    <t xml:space="preserve">V-curve (DRC)</t>
  </si>
  <si>
    <t xml:space="preserve">Mansfield et al., BU CRASR lab. R drc v3.0, LL.4 model. 96h static renewal, 6 salinity levels, F. heteroclitus fingerlings.</t>
  </si>
  <si>
    <t xml:space="preserve">Scenario equivalence</t>
  </si>
  <si>
    <t xml:space="preserve">SSP5-8.5 ≈ RCP8.5 per Meinshausen 2020 Climatic Change doi:10.1007/s10584-020-02846-z.</t>
  </si>
  <si>
    <t xml:space="preserve">IDW geometry</t>
  </si>
  <si>
    <t xml:space="preserve">Natural Earth 110m (naturalearthdata.com). Creative Commons Attribution license.</t>
  </si>
  <si>
    <t xml:space="preserve">SeqAPASS genes</t>
  </si>
  <si>
    <t xml:space="preserve">ATP1A1 (NP_000692.2), MT2 (NP_001002440.1), CASP3 (NP_571952.1), SLC12A2/NKCC1 (NP_001002080.1), HSPA1A (NP_005336.3). Selected from NCBI GO + mechanistic AgNP literature.</t>
  </si>
</sst>
</file>

<file path=xl/styles.xml><?xml version="1.0" encoding="utf-8"?>
<styleSheet xmlns="http://schemas.openxmlformats.org/spreadsheetml/2006/main">
  <numFmts count="11">
    <numFmt numFmtId="164" formatCode="General"/>
    <numFmt numFmtId="165" formatCode="0.000"/>
    <numFmt numFmtId="166" formatCode="0.0"/>
    <numFmt numFmtId="167" formatCode="#,##0.000"/>
    <numFmt numFmtId="168" formatCode="0.000000"/>
    <numFmt numFmtId="169" formatCode="0"/>
    <numFmt numFmtId="170" formatCode="\+0.0;\-0.0;0.0"/>
    <numFmt numFmtId="171" formatCode="\+0%;\-0%"/>
    <numFmt numFmtId="172" formatCode="\+0.0;\-0.0"/>
    <numFmt numFmtId="173" formatCode="0.00"/>
    <numFmt numFmtId="174" formatCode="0.0\×"/>
  </numFmts>
  <fonts count="19">
    <font>
      <sz val="11"/>
      <color theme="1"/>
      <name val="Calibri"/>
      <family val="2"/>
      <charset val="1"/>
    </font>
    <font>
      <sz val="10"/>
      <name val="Arial"/>
      <family val="0"/>
    </font>
    <font>
      <sz val="10"/>
      <name val="Arial"/>
      <family val="0"/>
    </font>
    <font>
      <sz val="10"/>
      <name val="Arial"/>
      <family val="0"/>
    </font>
    <font>
      <b val="true"/>
      <sz val="12"/>
      <color rgb="FFFFFFFF"/>
      <name val="Calibri"/>
      <family val="0"/>
      <charset val="1"/>
    </font>
    <font>
      <b val="true"/>
      <sz val="10"/>
      <color rgb="FFFFFFFF"/>
      <name val="Calibri"/>
      <family val="0"/>
      <charset val="1"/>
    </font>
    <font>
      <sz val="9"/>
      <color rgb="FF000000"/>
      <name val="Calibri"/>
      <family val="0"/>
      <charset val="1"/>
    </font>
    <font>
      <sz val="9"/>
      <color rgb="FF1C3A2E"/>
      <name val="Calibri"/>
      <family val="0"/>
      <charset val="1"/>
    </font>
    <font>
      <b val="true"/>
      <sz val="9"/>
      <color rgb="FF000000"/>
      <name val="Calibri"/>
      <family val="0"/>
      <charset val="1"/>
    </font>
    <font>
      <b val="true"/>
      <sz val="9"/>
      <color rgb="FF4A148C"/>
      <name val="Calibri"/>
      <family val="0"/>
      <charset val="1"/>
    </font>
    <font>
      <sz val="9"/>
      <color rgb="FFC2410C"/>
      <name val="Calibri"/>
      <family val="0"/>
      <charset val="1"/>
    </font>
    <font>
      <b val="true"/>
      <sz val="9"/>
      <color rgb="FFC2410C"/>
      <name val="Calibri"/>
      <family val="0"/>
      <charset val="1"/>
    </font>
    <font>
      <sz val="9"/>
      <name val="Calibri"/>
      <family val="0"/>
      <charset val="1"/>
    </font>
    <font>
      <sz val="9"/>
      <color rgb="FF888888"/>
      <name val="Calibri"/>
      <family val="0"/>
      <charset val="1"/>
    </font>
    <font>
      <sz val="9"/>
      <color rgb="FF0369A1"/>
      <name val="Calibri"/>
      <family val="0"/>
      <charset val="1"/>
    </font>
    <font>
      <b val="true"/>
      <sz val="9"/>
      <color rgb="FF0369A1"/>
      <name val="Calibri"/>
      <family val="0"/>
      <charset val="1"/>
    </font>
    <font>
      <b val="true"/>
      <sz val="9"/>
      <color rgb="FFFFFFFF"/>
      <name val="Calibri"/>
      <family val="0"/>
      <charset val="1"/>
    </font>
    <font>
      <b val="true"/>
      <sz val="9"/>
      <name val="Calibri"/>
      <family val="0"/>
      <charset val="1"/>
    </font>
    <font>
      <b val="true"/>
      <sz val="9"/>
      <color rgb="FF263238"/>
      <name val="Calibri"/>
      <family val="0"/>
      <charset val="1"/>
    </font>
  </fonts>
  <fills count="21">
    <fill>
      <patternFill patternType="none"/>
    </fill>
    <fill>
      <patternFill patternType="gray125"/>
    </fill>
    <fill>
      <patternFill patternType="solid">
        <fgColor rgb="FF1C3A2E"/>
        <bgColor rgb="FF263238"/>
      </patternFill>
    </fill>
    <fill>
      <patternFill patternType="solid">
        <fgColor rgb="FFFFFFFF"/>
        <bgColor rgb="FFF9F9F9"/>
      </patternFill>
    </fill>
    <fill>
      <patternFill patternType="solid">
        <fgColor rgb="FFF9F9F9"/>
        <bgColor rgb="FFFFF8F0"/>
      </patternFill>
    </fill>
    <fill>
      <patternFill patternType="solid">
        <fgColor rgb="FF1565C0"/>
        <bgColor rgb="FF0369A1"/>
      </patternFill>
    </fill>
    <fill>
      <patternFill patternType="solid">
        <fgColor rgb="FF4A148C"/>
        <bgColor rgb="FF333399"/>
      </patternFill>
    </fill>
    <fill>
      <patternFill patternType="solid">
        <fgColor rgb="FFEDE7F6"/>
        <bgColor rgb="FFF3E5F5"/>
      </patternFill>
    </fill>
    <fill>
      <patternFill patternType="solid">
        <fgColor rgb="FF7C2D12"/>
        <bgColor rgb="FF993366"/>
      </patternFill>
    </fill>
    <fill>
      <patternFill patternType="solid">
        <fgColor rgb="FFFFF3E0"/>
        <bgColor rgb="FFFFF8F0"/>
      </patternFill>
    </fill>
    <fill>
      <patternFill patternType="solid">
        <fgColor rgb="FFFFF8F0"/>
        <bgColor rgb="FFF9F9F9"/>
      </patternFill>
    </fill>
    <fill>
      <patternFill patternType="solid">
        <fgColor rgb="FFE8FFFE"/>
        <bgColor rgb="FFE0F7FA"/>
      </patternFill>
    </fill>
    <fill>
      <patternFill patternType="solid">
        <fgColor rgb="FFE0F7FA"/>
        <bgColor rgb="FFE8F5E9"/>
      </patternFill>
    </fill>
    <fill>
      <patternFill patternType="solid">
        <fgColor rgb="FFFFE0B2"/>
        <bgColor rgb="FFFFF3E0"/>
      </patternFill>
    </fill>
    <fill>
      <patternFill patternType="solid">
        <fgColor rgb="FF263238"/>
        <bgColor rgb="FF1C3A2E"/>
      </patternFill>
    </fill>
    <fill>
      <patternFill patternType="solid">
        <fgColor rgb="FFF1F8E9"/>
        <bgColor rgb="FFE8F5E9"/>
      </patternFill>
    </fill>
    <fill>
      <patternFill patternType="solid">
        <fgColor rgb="FFF3E5F5"/>
        <bgColor rgb="FFEDE7F6"/>
      </patternFill>
    </fill>
    <fill>
      <patternFill patternType="solid">
        <fgColor rgb="FFFFEBEE"/>
        <bgColor rgb="FFFFF3E0"/>
      </patternFill>
    </fill>
    <fill>
      <patternFill patternType="solid">
        <fgColor rgb="FFFFFDE7"/>
        <bgColor rgb="FFFFF8F0"/>
      </patternFill>
    </fill>
    <fill>
      <patternFill patternType="solid">
        <fgColor rgb="FFE8F5E9"/>
        <bgColor rgb="FFF1F8E9"/>
      </patternFill>
    </fill>
    <fill>
      <patternFill patternType="solid">
        <fgColor rgb="FFECEFF1"/>
        <bgColor rgb="FFE8F5E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false" applyAlignment="true" applyProtection="false">
      <alignment horizontal="left" vertical="top" textRotation="0" wrapText="true" indent="0" shrinkToFit="false"/>
      <protection locked="true" hidden="false"/>
    </xf>
    <xf numFmtId="165" fontId="6" fillId="3" borderId="0" xfId="0" applyFont="true" applyBorder="false" applyAlignment="true" applyProtection="false">
      <alignment horizontal="right" vertical="top" textRotation="0" wrapText="false" indent="0" shrinkToFit="false"/>
      <protection locked="true" hidden="false"/>
    </xf>
    <xf numFmtId="164" fontId="6" fillId="3" borderId="0" xfId="0" applyFont="true" applyBorder="false" applyAlignment="true" applyProtection="false">
      <alignment horizontal="center" vertical="top" textRotation="0" wrapText="false" indent="0" shrinkToFit="false"/>
      <protection locked="true" hidden="false"/>
    </xf>
    <xf numFmtId="166" fontId="6" fillId="3" borderId="0" xfId="0" applyFont="true" applyBorder="false" applyAlignment="true" applyProtection="false">
      <alignment horizontal="right" vertical="top" textRotation="0" wrapText="false" indent="0" shrinkToFit="false"/>
      <protection locked="true" hidden="false"/>
    </xf>
    <xf numFmtId="167" fontId="6" fillId="3" borderId="0" xfId="0" applyFont="true" applyBorder="false" applyAlignment="true" applyProtection="false">
      <alignment horizontal="right" vertical="top" textRotation="0" wrapText="false" indent="0" shrinkToFit="false"/>
      <protection locked="true" hidden="false"/>
    </xf>
    <xf numFmtId="164" fontId="6" fillId="3" borderId="0" xfId="0" applyFont="true" applyBorder="false" applyAlignment="true" applyProtection="false">
      <alignment horizontal="left" vertical="top" textRotation="0" wrapText="fals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xf numFmtId="165" fontId="6" fillId="4" borderId="0" xfId="0" applyFont="true" applyBorder="false" applyAlignment="true" applyProtection="false">
      <alignment horizontal="right" vertical="top" textRotation="0" wrapText="false" indent="0" shrinkToFit="false"/>
      <protection locked="true" hidden="false"/>
    </xf>
    <xf numFmtId="164" fontId="6" fillId="4" borderId="0" xfId="0" applyFont="true" applyBorder="false" applyAlignment="true" applyProtection="false">
      <alignment horizontal="center" vertical="top" textRotation="0" wrapText="false" indent="0" shrinkToFit="false"/>
      <protection locked="true" hidden="false"/>
    </xf>
    <xf numFmtId="166" fontId="6" fillId="4" borderId="0" xfId="0" applyFont="true" applyBorder="false" applyAlignment="true" applyProtection="false">
      <alignment horizontal="right" vertical="top" textRotation="0" wrapText="false" indent="0" shrinkToFit="false"/>
      <protection locked="true" hidden="false"/>
    </xf>
    <xf numFmtId="167" fontId="6" fillId="4" borderId="0" xfId="0" applyFont="true" applyBorder="false" applyAlignment="true" applyProtection="false">
      <alignment horizontal="right" vertical="top" textRotation="0" wrapText="false" indent="0" shrinkToFit="false"/>
      <protection locked="true" hidden="false"/>
    </xf>
    <xf numFmtId="164" fontId="6" fillId="4" borderId="0" xfId="0" applyFont="true" applyBorder="false" applyAlignment="true" applyProtection="false">
      <alignment horizontal="left" vertical="top" textRotation="0" wrapText="false" indent="0" shrinkToFit="false"/>
      <protection locked="true" hidden="false"/>
    </xf>
    <xf numFmtId="164" fontId="4" fillId="5" borderId="0" xfId="0" applyFont="true" applyBorder="true" applyAlignment="true" applyProtection="false">
      <alignment horizontal="left" vertical="center" textRotation="0" wrapText="false" indent="0" shrinkToFit="false"/>
      <protection locked="true" hidden="false"/>
    </xf>
    <xf numFmtId="164" fontId="5" fillId="5" borderId="0" xfId="0" applyFont="true" applyBorder="false" applyAlignment="true" applyProtection="false">
      <alignment horizontal="center" vertical="center" textRotation="0" wrapText="false" indent="0" shrinkToFit="false"/>
      <protection locked="true" hidden="false"/>
    </xf>
    <xf numFmtId="164" fontId="4" fillId="6" borderId="0" xfId="0" applyFont="true" applyBorder="true" applyAlignment="true" applyProtection="false">
      <alignment horizontal="left" vertical="center" textRotation="0" wrapText="false" indent="0" shrinkToFit="false"/>
      <protection locked="true" hidden="false"/>
    </xf>
    <xf numFmtId="164" fontId="5" fillId="6" borderId="0" xfId="0" applyFont="true" applyBorder="false" applyAlignment="true" applyProtection="false">
      <alignment horizontal="center" vertical="center" textRotation="0" wrapText="false" indent="0" shrinkToFit="false"/>
      <protection locked="true" hidden="false"/>
    </xf>
    <xf numFmtId="164" fontId="7" fillId="3" borderId="0" xfId="0" applyFont="true" applyBorder="false" applyAlignment="true" applyProtection="false">
      <alignment horizontal="left" vertical="top" textRotation="0" wrapText="false" indent="0" shrinkToFit="false"/>
      <protection locked="true" hidden="false"/>
    </xf>
    <xf numFmtId="168" fontId="6" fillId="3" borderId="0" xfId="0" applyFont="true" applyBorder="false" applyAlignment="true" applyProtection="false">
      <alignment horizontal="right" vertical="top" textRotation="0" wrapText="false" indent="0" shrinkToFit="false"/>
      <protection locked="true" hidden="false"/>
    </xf>
    <xf numFmtId="169" fontId="6" fillId="3" borderId="0" xfId="0" applyFont="true" applyBorder="false" applyAlignment="true" applyProtection="false">
      <alignment horizontal="right" vertical="top" textRotation="0" wrapText="false" indent="0" shrinkToFit="false"/>
      <protection locked="true" hidden="false"/>
    </xf>
    <xf numFmtId="164" fontId="7" fillId="4" borderId="0" xfId="0" applyFont="true" applyBorder="false" applyAlignment="true" applyProtection="false">
      <alignment horizontal="left" vertical="top" textRotation="0" wrapText="false" indent="0" shrinkToFit="false"/>
      <protection locked="true" hidden="false"/>
    </xf>
    <xf numFmtId="168" fontId="6" fillId="4" borderId="0" xfId="0" applyFont="true" applyBorder="false" applyAlignment="true" applyProtection="false">
      <alignment horizontal="right" vertical="top" textRotation="0" wrapText="false" indent="0" shrinkToFit="false"/>
      <protection locked="true" hidden="false"/>
    </xf>
    <xf numFmtId="169" fontId="6" fillId="4" borderId="0" xfId="0" applyFont="true" applyBorder="false" applyAlignment="true" applyProtection="false">
      <alignment horizontal="right" vertical="top" textRotation="0" wrapText="false" indent="0" shrinkToFit="false"/>
      <protection locked="true" hidden="false"/>
    </xf>
    <xf numFmtId="164" fontId="8" fillId="7" borderId="0" xfId="0" applyFont="true" applyBorder="false" applyAlignment="true" applyProtection="false">
      <alignment horizontal="left" vertical="top" textRotation="0" wrapText="false" indent="0" shrinkToFit="false"/>
      <protection locked="true" hidden="false"/>
    </xf>
    <xf numFmtId="164" fontId="9" fillId="7" borderId="0" xfId="0" applyFont="true" applyBorder="false" applyAlignment="true" applyProtection="false">
      <alignment horizontal="left" vertical="top" textRotation="0" wrapText="false" indent="0" shrinkToFit="false"/>
      <protection locked="true" hidden="false"/>
    </xf>
    <xf numFmtId="164" fontId="6" fillId="7" borderId="0" xfId="0" applyFont="true" applyBorder="false" applyAlignment="true" applyProtection="false">
      <alignment horizontal="center" vertical="top" textRotation="0" wrapText="false" indent="0" shrinkToFit="false"/>
      <protection locked="true" hidden="false"/>
    </xf>
    <xf numFmtId="168" fontId="6" fillId="7" borderId="0" xfId="0" applyFont="true" applyBorder="false" applyAlignment="true" applyProtection="false">
      <alignment horizontal="right" vertical="top" textRotation="0" wrapText="false" indent="0" shrinkToFit="false"/>
      <protection locked="true" hidden="false"/>
    </xf>
    <xf numFmtId="169" fontId="6" fillId="7" borderId="0" xfId="0" applyFont="true" applyBorder="false" applyAlignment="true" applyProtection="false">
      <alignment horizontal="right" vertical="top" textRotation="0" wrapText="false" indent="0" shrinkToFit="false"/>
      <protection locked="true" hidden="false"/>
    </xf>
    <xf numFmtId="164" fontId="6" fillId="7" borderId="0" xfId="0" applyFont="true" applyBorder="false" applyAlignment="true" applyProtection="false">
      <alignment horizontal="left" vertical="top" textRotation="0" wrapText="false" indent="0" shrinkToFit="false"/>
      <protection locked="true" hidden="false"/>
    </xf>
    <xf numFmtId="164" fontId="6" fillId="7" borderId="0" xfId="0" applyFont="true" applyBorder="false" applyAlignment="true" applyProtection="false">
      <alignment horizontal="left" vertical="top" textRotation="0" wrapText="true" indent="0" shrinkToFit="false"/>
      <protection locked="true" hidden="false"/>
    </xf>
    <xf numFmtId="164" fontId="4" fillId="8" borderId="0" xfId="0" applyFont="true" applyBorder="true" applyAlignment="true" applyProtection="false">
      <alignment horizontal="left" vertical="center" textRotation="0" wrapText="false" indent="0" shrinkToFit="false"/>
      <protection locked="true" hidden="false"/>
    </xf>
    <xf numFmtId="164" fontId="5" fillId="8" borderId="0" xfId="0" applyFont="true" applyBorder="false" applyAlignment="true" applyProtection="false">
      <alignment horizontal="center" vertical="center" textRotation="0" wrapText="false" indent="0" shrinkToFit="false"/>
      <protection locked="true" hidden="false"/>
    </xf>
    <xf numFmtId="164" fontId="6" fillId="9" borderId="0" xfId="0" applyFont="true" applyBorder="false" applyAlignment="true" applyProtection="false">
      <alignment horizontal="left" vertical="top" textRotation="0" wrapText="true" indent="0" shrinkToFit="false"/>
      <protection locked="true" hidden="false"/>
    </xf>
    <xf numFmtId="165" fontId="6" fillId="9" borderId="0" xfId="0" applyFont="true" applyBorder="false" applyAlignment="true" applyProtection="false">
      <alignment horizontal="right" vertical="top" textRotation="0" wrapText="false" indent="0" shrinkToFit="false"/>
      <protection locked="true" hidden="false"/>
    </xf>
    <xf numFmtId="164" fontId="10" fillId="9" borderId="0" xfId="0" applyFont="true" applyBorder="false" applyAlignment="true" applyProtection="false">
      <alignment horizontal="center" vertical="top" textRotation="0" wrapText="false" indent="0" shrinkToFit="false"/>
      <protection locked="true" hidden="false"/>
    </xf>
    <xf numFmtId="166" fontId="6" fillId="9" borderId="0" xfId="0" applyFont="true" applyBorder="false" applyAlignment="true" applyProtection="false">
      <alignment horizontal="right" vertical="top" textRotation="0" wrapText="false" indent="0" shrinkToFit="false"/>
      <protection locked="true" hidden="false"/>
    </xf>
    <xf numFmtId="170" fontId="11" fillId="9" borderId="0" xfId="0" applyFont="true" applyBorder="false" applyAlignment="true" applyProtection="false">
      <alignment horizontal="right" vertical="bottom" textRotation="0" wrapText="false" indent="0" shrinkToFit="false"/>
      <protection locked="true" hidden="false"/>
    </xf>
    <xf numFmtId="171" fontId="12" fillId="9" borderId="0" xfId="0" applyFont="true" applyBorder="false" applyAlignment="true" applyProtection="false">
      <alignment horizontal="right" vertical="bottom" textRotation="0" wrapText="false" indent="0" shrinkToFit="false"/>
      <protection locked="true" hidden="false"/>
    </xf>
    <xf numFmtId="164" fontId="11" fillId="9" borderId="0" xfId="0" applyFont="true" applyBorder="false" applyAlignment="true" applyProtection="false">
      <alignment horizontal="center" vertical="top" textRotation="0" wrapText="false" indent="0" shrinkToFit="false"/>
      <protection locked="true" hidden="false"/>
    </xf>
    <xf numFmtId="164" fontId="6" fillId="9" borderId="0" xfId="0" applyFont="true" applyBorder="false" applyAlignment="true" applyProtection="false">
      <alignment horizontal="center" vertical="top" textRotation="0" wrapText="false" indent="0" shrinkToFit="false"/>
      <protection locked="true" hidden="false"/>
    </xf>
    <xf numFmtId="169" fontId="6" fillId="9" borderId="0" xfId="0" applyFont="true" applyBorder="false" applyAlignment="true" applyProtection="false">
      <alignment horizontal="center" vertical="top" textRotation="0" wrapText="false" indent="0" shrinkToFit="false"/>
      <protection locked="true" hidden="false"/>
    </xf>
    <xf numFmtId="164" fontId="6" fillId="9" borderId="0" xfId="0" applyFont="true" applyBorder="false" applyAlignment="true" applyProtection="false">
      <alignment horizontal="left" vertical="top" textRotation="0" wrapText="false" indent="0" shrinkToFit="false"/>
      <protection locked="true" hidden="false"/>
    </xf>
    <xf numFmtId="164" fontId="6" fillId="10" borderId="0" xfId="0" applyFont="true" applyBorder="false" applyAlignment="true" applyProtection="false">
      <alignment horizontal="left" vertical="top" textRotation="0" wrapText="true" indent="0" shrinkToFit="false"/>
      <protection locked="true" hidden="false"/>
    </xf>
    <xf numFmtId="165" fontId="6" fillId="10" borderId="0" xfId="0" applyFont="true" applyBorder="false" applyAlignment="true" applyProtection="false">
      <alignment horizontal="right" vertical="top" textRotation="0" wrapText="false" indent="0" shrinkToFit="false"/>
      <protection locked="true" hidden="false"/>
    </xf>
    <xf numFmtId="164" fontId="10" fillId="10" borderId="0" xfId="0" applyFont="true" applyBorder="false" applyAlignment="true" applyProtection="false">
      <alignment horizontal="center" vertical="top" textRotation="0" wrapText="false" indent="0" shrinkToFit="false"/>
      <protection locked="true" hidden="false"/>
    </xf>
    <xf numFmtId="166" fontId="6" fillId="10" borderId="0" xfId="0" applyFont="true" applyBorder="false" applyAlignment="true" applyProtection="false">
      <alignment horizontal="right" vertical="top" textRotation="0" wrapText="false" indent="0" shrinkToFit="false"/>
      <protection locked="true" hidden="false"/>
    </xf>
    <xf numFmtId="170" fontId="11" fillId="10" borderId="0" xfId="0" applyFont="true" applyBorder="false" applyAlignment="true" applyProtection="false">
      <alignment horizontal="right" vertical="bottom" textRotation="0" wrapText="false" indent="0" shrinkToFit="false"/>
      <protection locked="true" hidden="false"/>
    </xf>
    <xf numFmtId="171" fontId="12" fillId="10" borderId="0" xfId="0" applyFont="true" applyBorder="false" applyAlignment="true" applyProtection="false">
      <alignment horizontal="right" vertical="bottom" textRotation="0" wrapText="false" indent="0" shrinkToFit="false"/>
      <protection locked="true" hidden="false"/>
    </xf>
    <xf numFmtId="164" fontId="11" fillId="10" borderId="0" xfId="0" applyFont="true" applyBorder="false" applyAlignment="true" applyProtection="false">
      <alignment horizontal="center" vertical="top" textRotation="0" wrapText="false" indent="0" shrinkToFit="false"/>
      <protection locked="true" hidden="false"/>
    </xf>
    <xf numFmtId="164" fontId="6" fillId="10" borderId="0" xfId="0" applyFont="true" applyBorder="false" applyAlignment="true" applyProtection="false">
      <alignment horizontal="center" vertical="top" textRotation="0" wrapText="false" indent="0" shrinkToFit="false"/>
      <protection locked="true" hidden="false"/>
    </xf>
    <xf numFmtId="169" fontId="6" fillId="10" borderId="0" xfId="0" applyFont="true" applyBorder="false" applyAlignment="true" applyProtection="false">
      <alignment horizontal="center" vertical="top" textRotation="0" wrapText="false" indent="0" shrinkToFit="false"/>
      <protection locked="true" hidden="false"/>
    </xf>
    <xf numFmtId="164" fontId="6" fillId="10" borderId="0" xfId="0" applyFont="true" applyBorder="false" applyAlignment="true" applyProtection="false">
      <alignment horizontal="left" vertical="top" textRotation="0" wrapText="false" indent="0" shrinkToFit="false"/>
      <protection locked="true" hidden="false"/>
    </xf>
    <xf numFmtId="164" fontId="13" fillId="9" borderId="0" xfId="0" applyFont="true" applyBorder="false" applyAlignment="true" applyProtection="false">
      <alignment horizontal="center" vertical="top" textRotation="0" wrapText="false" indent="0" shrinkToFit="false"/>
      <protection locked="true" hidden="false"/>
    </xf>
    <xf numFmtId="164" fontId="13" fillId="10" borderId="0" xfId="0" applyFont="true" applyBorder="false" applyAlignment="true" applyProtection="false">
      <alignment horizontal="center" vertical="top" textRotation="0" wrapText="false" indent="0" shrinkToFit="false"/>
      <protection locked="true" hidden="false"/>
    </xf>
    <xf numFmtId="164" fontId="6" fillId="11" borderId="0" xfId="0" applyFont="true" applyBorder="false" applyAlignment="true" applyProtection="false">
      <alignment horizontal="left" vertical="top" textRotation="0" wrapText="true" indent="0" shrinkToFit="false"/>
      <protection locked="true" hidden="false"/>
    </xf>
    <xf numFmtId="165" fontId="6" fillId="11" borderId="0" xfId="0" applyFont="true" applyBorder="false" applyAlignment="true" applyProtection="false">
      <alignment horizontal="right" vertical="top" textRotation="0" wrapText="false" indent="0" shrinkToFit="false"/>
      <protection locked="true" hidden="false"/>
    </xf>
    <xf numFmtId="164" fontId="14" fillId="11" borderId="0" xfId="0" applyFont="true" applyBorder="false" applyAlignment="true" applyProtection="false">
      <alignment horizontal="center" vertical="top" textRotation="0" wrapText="false" indent="0" shrinkToFit="false"/>
      <protection locked="true" hidden="false"/>
    </xf>
    <xf numFmtId="166" fontId="6" fillId="11" borderId="0" xfId="0" applyFont="true" applyBorder="false" applyAlignment="true" applyProtection="false">
      <alignment horizontal="right" vertical="top" textRotation="0" wrapText="false" indent="0" shrinkToFit="false"/>
      <protection locked="true" hidden="false"/>
    </xf>
    <xf numFmtId="170" fontId="15" fillId="11" borderId="0" xfId="0" applyFont="true" applyBorder="false" applyAlignment="true" applyProtection="false">
      <alignment horizontal="right" vertical="bottom" textRotation="0" wrapText="false" indent="0" shrinkToFit="false"/>
      <protection locked="true" hidden="false"/>
    </xf>
    <xf numFmtId="171" fontId="12" fillId="11" borderId="0" xfId="0" applyFont="true" applyBorder="false" applyAlignment="true" applyProtection="false">
      <alignment horizontal="right" vertical="bottom" textRotation="0" wrapText="false" indent="0" shrinkToFit="false"/>
      <protection locked="true" hidden="false"/>
    </xf>
    <xf numFmtId="164" fontId="13" fillId="11" borderId="0" xfId="0" applyFont="true" applyBorder="false" applyAlignment="true" applyProtection="false">
      <alignment horizontal="center" vertical="top" textRotation="0" wrapText="false" indent="0" shrinkToFit="false"/>
      <protection locked="true" hidden="false"/>
    </xf>
    <xf numFmtId="164" fontId="6" fillId="11" borderId="0" xfId="0" applyFont="true" applyBorder="false" applyAlignment="true" applyProtection="false">
      <alignment horizontal="center" vertical="top" textRotation="0" wrapText="false" indent="0" shrinkToFit="false"/>
      <protection locked="true" hidden="false"/>
    </xf>
    <xf numFmtId="169" fontId="6" fillId="11" borderId="0" xfId="0" applyFont="true" applyBorder="false" applyAlignment="true" applyProtection="false">
      <alignment horizontal="center" vertical="top" textRotation="0" wrapText="false" indent="0" shrinkToFit="false"/>
      <protection locked="true" hidden="false"/>
    </xf>
    <xf numFmtId="164" fontId="6" fillId="11" borderId="0" xfId="0" applyFont="true" applyBorder="false" applyAlignment="true" applyProtection="false">
      <alignment horizontal="left" vertical="top" textRotation="0" wrapText="false" indent="0" shrinkToFit="false"/>
      <protection locked="true" hidden="false"/>
    </xf>
    <xf numFmtId="164" fontId="6" fillId="12" borderId="0" xfId="0" applyFont="true" applyBorder="false" applyAlignment="true" applyProtection="false">
      <alignment horizontal="left" vertical="top" textRotation="0" wrapText="true" indent="0" shrinkToFit="false"/>
      <protection locked="true" hidden="false"/>
    </xf>
    <xf numFmtId="165" fontId="6" fillId="12" borderId="0" xfId="0" applyFont="true" applyBorder="false" applyAlignment="true" applyProtection="false">
      <alignment horizontal="right" vertical="top" textRotation="0" wrapText="false" indent="0" shrinkToFit="false"/>
      <protection locked="true" hidden="false"/>
    </xf>
    <xf numFmtId="164" fontId="14" fillId="12" borderId="0" xfId="0" applyFont="true" applyBorder="false" applyAlignment="true" applyProtection="false">
      <alignment horizontal="center" vertical="top" textRotation="0" wrapText="false" indent="0" shrinkToFit="false"/>
      <protection locked="true" hidden="false"/>
    </xf>
    <xf numFmtId="166" fontId="6" fillId="12" borderId="0" xfId="0" applyFont="true" applyBorder="false" applyAlignment="true" applyProtection="false">
      <alignment horizontal="right" vertical="top" textRotation="0" wrapText="false" indent="0" shrinkToFit="false"/>
      <protection locked="true" hidden="false"/>
    </xf>
    <xf numFmtId="170" fontId="15" fillId="12" borderId="0" xfId="0" applyFont="true" applyBorder="false" applyAlignment="true" applyProtection="false">
      <alignment horizontal="right" vertical="bottom" textRotation="0" wrapText="false" indent="0" shrinkToFit="false"/>
      <protection locked="true" hidden="false"/>
    </xf>
    <xf numFmtId="171" fontId="12" fillId="12" borderId="0" xfId="0" applyFont="true" applyBorder="false" applyAlignment="true" applyProtection="false">
      <alignment horizontal="right" vertical="bottom" textRotation="0" wrapText="false" indent="0" shrinkToFit="false"/>
      <protection locked="true" hidden="false"/>
    </xf>
    <xf numFmtId="164" fontId="11" fillId="12" borderId="0" xfId="0" applyFont="true" applyBorder="false" applyAlignment="true" applyProtection="false">
      <alignment horizontal="center" vertical="top" textRotation="0" wrapText="false" indent="0" shrinkToFit="false"/>
      <protection locked="true" hidden="false"/>
    </xf>
    <xf numFmtId="164" fontId="6" fillId="12" borderId="0" xfId="0" applyFont="true" applyBorder="false" applyAlignment="true" applyProtection="false">
      <alignment horizontal="center" vertical="top" textRotation="0" wrapText="false" indent="0" shrinkToFit="false"/>
      <protection locked="true" hidden="false"/>
    </xf>
    <xf numFmtId="169" fontId="6" fillId="12" borderId="0" xfId="0" applyFont="true" applyBorder="false" applyAlignment="true" applyProtection="false">
      <alignment horizontal="center" vertical="top" textRotation="0" wrapText="false" indent="0" shrinkToFit="false"/>
      <protection locked="true" hidden="false"/>
    </xf>
    <xf numFmtId="164" fontId="6" fillId="12" borderId="0" xfId="0" applyFont="true" applyBorder="false" applyAlignment="true" applyProtection="false">
      <alignment horizontal="left" vertical="top" textRotation="0" wrapText="false" indent="0" shrinkToFit="false"/>
      <protection locked="true" hidden="false"/>
    </xf>
    <xf numFmtId="164" fontId="11" fillId="11" borderId="0" xfId="0" applyFont="true" applyBorder="false" applyAlignment="true" applyProtection="false">
      <alignment horizontal="center" vertical="top" textRotation="0" wrapText="false" indent="0" shrinkToFit="false"/>
      <protection locked="true" hidden="false"/>
    </xf>
    <xf numFmtId="164" fontId="13" fillId="12" borderId="0" xfId="0" applyFont="true" applyBorder="false" applyAlignment="true" applyProtection="false">
      <alignment horizontal="center" vertical="top" textRotation="0" wrapText="false" indent="0" shrinkToFit="false"/>
      <protection locked="true" hidden="false"/>
    </xf>
    <xf numFmtId="164" fontId="16" fillId="8" borderId="0" xfId="0" applyFont="true" applyBorder="false" applyAlignment="false" applyProtection="false">
      <alignment horizontal="general" vertical="bottom" textRotation="0" wrapText="false" indent="0" shrinkToFit="false"/>
      <protection locked="true" hidden="false"/>
    </xf>
    <xf numFmtId="166" fontId="17" fillId="13" borderId="0" xfId="0" applyFont="true" applyBorder="false" applyAlignment="false" applyProtection="false">
      <alignment horizontal="general" vertical="bottom" textRotation="0" wrapText="false" indent="0" shrinkToFit="false"/>
      <protection locked="true" hidden="false"/>
    </xf>
    <xf numFmtId="172" fontId="17" fillId="13" borderId="0" xfId="0" applyFont="true" applyBorder="false" applyAlignment="false" applyProtection="false">
      <alignment horizontal="general" vertical="bottom" textRotation="0" wrapText="false" indent="0" shrinkToFit="false"/>
      <protection locked="true" hidden="false"/>
    </xf>
    <xf numFmtId="169" fontId="17" fillId="13" borderId="0" xfId="0" applyFont="true" applyBorder="false" applyAlignment="false" applyProtection="false">
      <alignment horizontal="general" vertical="bottom" textRotation="0" wrapText="false" indent="0" shrinkToFit="false"/>
      <protection locked="true" hidden="false"/>
    </xf>
    <xf numFmtId="164" fontId="4" fillId="14" borderId="0" xfId="0" applyFont="true" applyBorder="true" applyAlignment="true" applyProtection="false">
      <alignment horizontal="left" vertical="center" textRotation="0" wrapText="false" indent="0" shrinkToFit="false"/>
      <protection locked="true" hidden="false"/>
    </xf>
    <xf numFmtId="164" fontId="5" fillId="14" borderId="0" xfId="0" applyFont="true" applyBorder="true" applyAlignment="true" applyProtection="false">
      <alignment horizontal="left" vertical="center" textRotation="0" wrapText="false" indent="1" shrinkToFit="false"/>
      <protection locked="true" hidden="false"/>
    </xf>
    <xf numFmtId="164" fontId="18" fillId="15" borderId="0" xfId="0" applyFont="true" applyBorder="true" applyAlignment="true" applyProtection="false">
      <alignment horizontal="general" vertical="top" textRotation="0" wrapText="false" indent="0" shrinkToFit="false"/>
      <protection locked="true" hidden="false"/>
    </xf>
    <xf numFmtId="164" fontId="12" fillId="15" borderId="0" xfId="0" applyFont="true" applyBorder="true" applyAlignment="true" applyProtection="false">
      <alignment horizontal="general" vertical="top" textRotation="0" wrapText="true" indent="0" shrinkToFit="false"/>
      <protection locked="true" hidden="false"/>
    </xf>
    <xf numFmtId="173" fontId="6" fillId="3" borderId="0" xfId="0" applyFont="true" applyBorder="false" applyAlignment="true" applyProtection="false">
      <alignment horizontal="right" vertical="top" textRotation="0" wrapText="false" indent="0" shrinkToFit="false"/>
      <protection locked="true" hidden="false"/>
    </xf>
    <xf numFmtId="174" fontId="11" fillId="3" borderId="0" xfId="0" applyFont="true" applyBorder="false" applyAlignment="true" applyProtection="false">
      <alignment horizontal="right" vertical="bottom" textRotation="0" wrapText="false" indent="0" shrinkToFit="false"/>
      <protection locked="true" hidden="false"/>
    </xf>
    <xf numFmtId="173" fontId="6" fillId="4" borderId="0" xfId="0" applyFont="true" applyBorder="false" applyAlignment="true" applyProtection="false">
      <alignment horizontal="right" vertical="top" textRotation="0" wrapText="false" indent="0" shrinkToFit="false"/>
      <protection locked="true" hidden="false"/>
    </xf>
    <xf numFmtId="174" fontId="11" fillId="4" borderId="0" xfId="0" applyFont="true" applyBorder="false" applyAlignment="true" applyProtection="false">
      <alignment horizontal="right" vertical="bottom" textRotation="0" wrapText="false" indent="0" shrinkToFit="false"/>
      <protection locked="true" hidden="false"/>
    </xf>
    <xf numFmtId="164" fontId="18" fillId="10" borderId="0" xfId="0" applyFont="true" applyBorder="true" applyAlignment="true" applyProtection="false">
      <alignment horizontal="general" vertical="top" textRotation="0" wrapText="false" indent="0" shrinkToFit="false"/>
      <protection locked="true" hidden="false"/>
    </xf>
    <xf numFmtId="164" fontId="12" fillId="10" borderId="0" xfId="0" applyFont="true" applyBorder="true" applyAlignment="true" applyProtection="false">
      <alignment horizontal="general" vertical="top" textRotation="0" wrapText="true" indent="0" shrinkToFit="false"/>
      <protection locked="true" hidden="false"/>
    </xf>
    <xf numFmtId="164" fontId="18" fillId="16" borderId="0" xfId="0" applyFont="true" applyBorder="true" applyAlignment="true" applyProtection="false">
      <alignment horizontal="general" vertical="top" textRotation="0" wrapText="false" indent="0" shrinkToFit="false"/>
      <protection locked="true" hidden="false"/>
    </xf>
    <xf numFmtId="164" fontId="12" fillId="16" borderId="0" xfId="0" applyFont="true" applyBorder="true" applyAlignment="true" applyProtection="false">
      <alignment horizontal="general" vertical="top" textRotation="0" wrapText="true" indent="0" shrinkToFit="false"/>
      <protection locked="true" hidden="false"/>
    </xf>
    <xf numFmtId="164" fontId="18" fillId="17" borderId="0" xfId="0" applyFont="true" applyBorder="true" applyAlignment="true" applyProtection="false">
      <alignment horizontal="general" vertical="top" textRotation="0" wrapText="false" indent="0" shrinkToFit="false"/>
      <protection locked="true" hidden="false"/>
    </xf>
    <xf numFmtId="164" fontId="12" fillId="17" borderId="0" xfId="0" applyFont="true" applyBorder="true" applyAlignment="true" applyProtection="false">
      <alignment horizontal="general" vertical="top" textRotation="0" wrapText="true" indent="0" shrinkToFit="false"/>
      <protection locked="true" hidden="false"/>
    </xf>
    <xf numFmtId="164" fontId="18" fillId="9" borderId="0" xfId="0" applyFont="true" applyBorder="true" applyAlignment="true" applyProtection="false">
      <alignment horizontal="general" vertical="top" textRotation="0" wrapText="false" indent="0" shrinkToFit="false"/>
      <protection locked="true" hidden="false"/>
    </xf>
    <xf numFmtId="164" fontId="12" fillId="9" borderId="0" xfId="0" applyFont="true" applyBorder="true" applyAlignment="true" applyProtection="false">
      <alignment horizontal="general" vertical="top" textRotation="0" wrapText="true" indent="0" shrinkToFit="false"/>
      <protection locked="true" hidden="false"/>
    </xf>
    <xf numFmtId="164" fontId="18" fillId="18" borderId="0" xfId="0" applyFont="true" applyBorder="true" applyAlignment="true" applyProtection="false">
      <alignment horizontal="general" vertical="top" textRotation="0" wrapText="false" indent="0" shrinkToFit="false"/>
      <protection locked="true" hidden="false"/>
    </xf>
    <xf numFmtId="164" fontId="12" fillId="18" borderId="0" xfId="0" applyFont="true" applyBorder="true" applyAlignment="true" applyProtection="false">
      <alignment horizontal="general" vertical="top" textRotation="0" wrapText="true" indent="0" shrinkToFit="false"/>
      <protection locked="true" hidden="false"/>
    </xf>
    <xf numFmtId="164" fontId="18" fillId="12" borderId="0" xfId="0" applyFont="true" applyBorder="true" applyAlignment="true" applyProtection="false">
      <alignment horizontal="general" vertical="top" textRotation="0" wrapText="false" indent="0" shrinkToFit="false"/>
      <protection locked="true" hidden="false"/>
    </xf>
    <xf numFmtId="164" fontId="12" fillId="12" borderId="0" xfId="0" applyFont="true" applyBorder="true" applyAlignment="true" applyProtection="false">
      <alignment horizontal="general" vertical="top" textRotation="0" wrapText="true" indent="0" shrinkToFit="false"/>
      <protection locked="true" hidden="false"/>
    </xf>
    <xf numFmtId="164" fontId="18" fillId="19" borderId="0" xfId="0" applyFont="true" applyBorder="true" applyAlignment="true" applyProtection="false">
      <alignment horizontal="general" vertical="top" textRotation="0" wrapText="false" indent="0" shrinkToFit="false"/>
      <protection locked="true" hidden="false"/>
    </xf>
    <xf numFmtId="164" fontId="12" fillId="19" borderId="0" xfId="0" applyFont="true" applyBorder="true" applyAlignment="true" applyProtection="false">
      <alignment horizontal="general" vertical="top" textRotation="0" wrapText="true" indent="0" shrinkToFit="false"/>
      <protection locked="true" hidden="false"/>
    </xf>
    <xf numFmtId="164" fontId="18" fillId="20" borderId="0" xfId="0" applyFont="true" applyBorder="true" applyAlignment="true" applyProtection="false">
      <alignment horizontal="general" vertical="top" textRotation="0" wrapText="false" indent="0" shrinkToFit="false"/>
      <protection locked="true" hidden="false"/>
    </xf>
    <xf numFmtId="164" fontId="12" fillId="2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C3A2E"/>
          <bgColor rgb="FF000000"/>
        </patternFill>
      </fill>
    </dxf>
    <dxf>
      <fill>
        <patternFill patternType="solid">
          <fgColor rgb="FFFFFFFF"/>
          <bgColor rgb="FF000000"/>
        </patternFill>
      </fill>
    </dxf>
    <dxf>
      <fill>
        <patternFill patternType="solid">
          <fgColor rgb="FF1565C0"/>
          <bgColor rgb="FF000000"/>
        </patternFill>
      </fill>
    </dxf>
    <dxf>
      <fill>
        <patternFill patternType="solid">
          <fgColor rgb="FF7C2D12"/>
          <bgColor rgb="FF000000"/>
        </patternFill>
      </fill>
    </dxf>
  </dxfs>
  <colors>
    <indexedColors>
      <rgbColor rgb="FF000000"/>
      <rgbColor rgb="FFFFFFFF"/>
      <rgbColor rgb="FFFF0000"/>
      <rgbColor rgb="FF00FF00"/>
      <rgbColor rgb="FF0000FF"/>
      <rgbColor rgb="FFF1F8E9"/>
      <rgbColor rgb="FFFF00FF"/>
      <rgbColor rgb="FF00FFFF"/>
      <rgbColor rgb="FF800000"/>
      <rgbColor rgb="FF008000"/>
      <rgbColor rgb="FF000080"/>
      <rgbColor rgb="FF808000"/>
      <rgbColor rgb="FF800080"/>
      <rgbColor rgb="FF0369A1"/>
      <rgbColor rgb="FFF3E5F5"/>
      <rgbColor rgb="FF888888"/>
      <rgbColor rgb="FFA78BFA"/>
      <rgbColor rgb="FFC2410C"/>
      <rgbColor rgb="FFFFFDE7"/>
      <rgbColor rgb="FFE0F7FA"/>
      <rgbColor rgb="FF4A148C"/>
      <rgbColor rgb="FFFF8080"/>
      <rgbColor rgb="FF1565C0"/>
      <rgbColor rgb="FFEDE7F6"/>
      <rgbColor rgb="FF000080"/>
      <rgbColor rgb="FFFF00FF"/>
      <rgbColor rgb="FFFFF8F0"/>
      <rgbColor rgb="FF00FFFF"/>
      <rgbColor rgb="FF800080"/>
      <rgbColor rgb="FF800000"/>
      <rgbColor rgb="FF008080"/>
      <rgbColor rgb="FF0000FF"/>
      <rgbColor rgb="FF00CCFF"/>
      <rgbColor rgb="FFE8FFFE"/>
      <rgbColor rgb="FFE8F5E9"/>
      <rgbColor rgb="FFFFF3E0"/>
      <rgbColor rgb="FF60A5FA"/>
      <rgbColor rgb="FFFFEBEE"/>
      <rgbColor rgb="FFECEFF1"/>
      <rgbColor rgb="FFFFE0B2"/>
      <rgbColor rgb="FF3366FF"/>
      <rgbColor rgb="FF34D399"/>
      <rgbColor rgb="FF99CC00"/>
      <rgbColor rgb="FFF9F9F9"/>
      <rgbColor rgb="FFFB923C"/>
      <rgbColor rgb="FFFF6600"/>
      <rgbColor rgb="FF666699"/>
      <rgbColor rgb="FF94A3B8"/>
      <rgbColor rgb="FF003366"/>
      <rgbColor rgb="FF339966"/>
      <rgbColor rgb="FF003300"/>
      <rgbColor rgb="FF1C3A2E"/>
      <rgbColor rgb="FF7C2D12"/>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4D399"/>
    <pageSetUpPr fitToPage="false"/>
  </sheetPr>
  <dimension ref="A1:L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5"/>
    <col collapsed="false" customWidth="true" hidden="false" outlineLevel="0" max="3" min="2" style="0" width="10"/>
    <col collapsed="false" customWidth="true" hidden="false" outlineLevel="0" max="4" min="4" style="0" width="12"/>
    <col collapsed="false" customWidth="true" hidden="false" outlineLevel="0" max="5" min="5" style="0" width="10"/>
    <col collapsed="false" customWidth="true" hidden="false" outlineLevel="0" max="6" min="6" style="0" width="14"/>
    <col collapsed="false" customWidth="true" hidden="false" outlineLevel="0" max="7" min="7" style="0" width="22"/>
    <col collapsed="false" customWidth="true" hidden="false" outlineLevel="0" max="8" min="8" style="0" width="16"/>
    <col collapsed="false" customWidth="true" hidden="false" outlineLevel="0" max="9" min="9" style="0" width="14"/>
    <col collapsed="false" customWidth="true" hidden="false" outlineLevel="0" max="10" min="10" style="0" width="35"/>
    <col collapsed="false" customWidth="true" hidden="false" outlineLevel="0" max="11" min="11" style="0" width="30"/>
    <col collapsed="false" customWidth="true" hidden="false" outlineLevel="0" max="12" min="12" style="0" width="45"/>
  </cols>
  <sheetData>
    <row r="1" customFormat="false" ht="27.75" hidden="false" customHeight="true" outlineLevel="0" collapsed="false">
      <c r="A1" s="1" t="s">
        <v>0</v>
      </c>
      <c r="B1" s="1"/>
      <c r="C1" s="1"/>
      <c r="D1" s="1"/>
      <c r="E1" s="1"/>
      <c r="F1" s="1"/>
      <c r="G1" s="1"/>
      <c r="H1" s="1"/>
      <c r="I1" s="1"/>
      <c r="J1" s="1"/>
      <c r="K1" s="1"/>
      <c r="L1" s="1"/>
    </row>
    <row r="2" customFormat="false" ht="36" hidden="false" customHeight="true" outlineLevel="0" collapsed="false">
      <c r="A2" s="2" t="s">
        <v>1</v>
      </c>
      <c r="B2" s="2" t="s">
        <v>2</v>
      </c>
      <c r="C2" s="2" t="s">
        <v>3</v>
      </c>
      <c r="D2" s="2" t="s">
        <v>4</v>
      </c>
      <c r="E2" s="2" t="s">
        <v>5</v>
      </c>
      <c r="F2" s="2" t="s">
        <v>6</v>
      </c>
      <c r="G2" s="2" t="s">
        <v>7</v>
      </c>
      <c r="H2" s="2" t="s">
        <v>8</v>
      </c>
      <c r="I2" s="2" t="s">
        <v>9</v>
      </c>
      <c r="J2" s="2" t="s">
        <v>10</v>
      </c>
      <c r="K2" s="2" t="s">
        <v>11</v>
      </c>
      <c r="L2" s="2" t="s">
        <v>12</v>
      </c>
    </row>
    <row r="3" customFormat="false" ht="22.35" hidden="false" customHeight="false" outlineLevel="0" collapsed="false">
      <c r="A3" s="3" t="s">
        <v>13</v>
      </c>
      <c r="B3" s="4" t="n">
        <v>11.6</v>
      </c>
      <c r="C3" s="4" t="n">
        <v>48.15</v>
      </c>
      <c r="D3" s="5" t="s">
        <v>14</v>
      </c>
      <c r="E3" s="6" t="n">
        <v>0.1</v>
      </c>
      <c r="F3" s="7" t="n">
        <v>1.5</v>
      </c>
      <c r="G3" s="3" t="s">
        <v>15</v>
      </c>
      <c r="H3" s="5" t="s">
        <v>16</v>
      </c>
      <c r="I3" s="4" t="n">
        <v>0.353</v>
      </c>
      <c r="J3" s="3" t="s">
        <v>17</v>
      </c>
      <c r="K3" s="8" t="s">
        <v>18</v>
      </c>
      <c r="L3" s="3" t="s">
        <v>19</v>
      </c>
    </row>
    <row r="4" customFormat="false" ht="15" hidden="false" customHeight="false" outlineLevel="0" collapsed="false">
      <c r="A4" s="9" t="s">
        <v>20</v>
      </c>
      <c r="B4" s="10" t="n">
        <v>11.65</v>
      </c>
      <c r="C4" s="10" t="n">
        <v>48.25</v>
      </c>
      <c r="D4" s="11" t="s">
        <v>14</v>
      </c>
      <c r="E4" s="12" t="n">
        <v>0.1</v>
      </c>
      <c r="F4" s="13" t="n">
        <v>35</v>
      </c>
      <c r="G4" s="9" t="s">
        <v>15</v>
      </c>
      <c r="H4" s="11" t="s">
        <v>16</v>
      </c>
      <c r="I4" s="10" t="n">
        <v>0.257</v>
      </c>
      <c r="J4" s="9" t="s">
        <v>21</v>
      </c>
      <c r="K4" s="14" t="s">
        <v>18</v>
      </c>
      <c r="L4" s="9" t="s">
        <v>22</v>
      </c>
    </row>
    <row r="5" customFormat="false" ht="22.35" hidden="false" customHeight="false" outlineLevel="0" collapsed="false">
      <c r="A5" s="3" t="s">
        <v>23</v>
      </c>
      <c r="B5" s="4" t="n">
        <v>2.23</v>
      </c>
      <c r="C5" s="4" t="n">
        <v>41.46</v>
      </c>
      <c r="D5" s="5" t="s">
        <v>14</v>
      </c>
      <c r="E5" s="6" t="n">
        <v>0.1</v>
      </c>
      <c r="F5" s="7" t="n">
        <v>0.64</v>
      </c>
      <c r="G5" s="3" t="s">
        <v>24</v>
      </c>
      <c r="H5" s="5" t="s">
        <v>16</v>
      </c>
      <c r="I5" s="4" t="n">
        <v>0.312</v>
      </c>
      <c r="J5" s="3" t="s">
        <v>25</v>
      </c>
      <c r="K5" s="8" t="s">
        <v>26</v>
      </c>
      <c r="L5" s="3" t="s">
        <v>27</v>
      </c>
    </row>
    <row r="6" customFormat="false" ht="32.8" hidden="false" customHeight="false" outlineLevel="0" collapsed="false">
      <c r="A6" s="9" t="s">
        <v>28</v>
      </c>
      <c r="B6" s="10" t="n">
        <v>103.67</v>
      </c>
      <c r="C6" s="10" t="n">
        <v>1.53</v>
      </c>
      <c r="D6" s="11" t="s">
        <v>14</v>
      </c>
      <c r="E6" s="12" t="n">
        <v>0.1</v>
      </c>
      <c r="F6" s="13" t="n">
        <v>5145</v>
      </c>
      <c r="G6" s="9" t="s">
        <v>29</v>
      </c>
      <c r="H6" s="11" t="s">
        <v>16</v>
      </c>
      <c r="I6" s="10" t="n">
        <v>0.619</v>
      </c>
      <c r="J6" s="9" t="s">
        <v>30</v>
      </c>
      <c r="K6" s="14" t="s">
        <v>31</v>
      </c>
      <c r="L6" s="9" t="s">
        <v>32</v>
      </c>
    </row>
    <row r="7" customFormat="false" ht="22.35" hidden="false" customHeight="false" outlineLevel="0" collapsed="false">
      <c r="A7" s="3" t="s">
        <v>33</v>
      </c>
      <c r="B7" s="4" t="n">
        <v>6.9</v>
      </c>
      <c r="C7" s="4" t="n">
        <v>50.9</v>
      </c>
      <c r="D7" s="5" t="s">
        <v>14</v>
      </c>
      <c r="E7" s="6" t="n">
        <v>0.1</v>
      </c>
      <c r="F7" s="7" t="n">
        <v>22</v>
      </c>
      <c r="G7" s="3" t="s">
        <v>34</v>
      </c>
      <c r="H7" s="5" t="s">
        <v>16</v>
      </c>
      <c r="I7" s="4" t="n">
        <v>0.224</v>
      </c>
      <c r="J7" s="3" t="s">
        <v>35</v>
      </c>
      <c r="K7" s="8" t="s">
        <v>36</v>
      </c>
      <c r="L7" s="3" t="s">
        <v>37</v>
      </c>
    </row>
    <row r="8" customFormat="false" ht="32.8" hidden="false" customHeight="false" outlineLevel="0" collapsed="false">
      <c r="A8" s="9" t="s">
        <v>38</v>
      </c>
      <c r="B8" s="10" t="n">
        <v>-93.72</v>
      </c>
      <c r="C8" s="10" t="n">
        <v>49.7</v>
      </c>
      <c r="D8" s="11" t="s">
        <v>14</v>
      </c>
      <c r="E8" s="12" t="n">
        <v>0.1</v>
      </c>
      <c r="F8" s="13" t="n">
        <v>5000</v>
      </c>
      <c r="G8" s="9" t="s">
        <v>39</v>
      </c>
      <c r="H8" s="11" t="s">
        <v>16</v>
      </c>
      <c r="I8" s="10" t="n">
        <v>0.616</v>
      </c>
      <c r="J8" s="9" t="s">
        <v>40</v>
      </c>
      <c r="K8" s="14" t="s">
        <v>41</v>
      </c>
      <c r="L8" s="9" t="s">
        <v>42</v>
      </c>
    </row>
    <row r="9" customFormat="false" ht="32.8" hidden="false" customHeight="false" outlineLevel="0" collapsed="false">
      <c r="A9" s="3" t="s">
        <v>43</v>
      </c>
      <c r="B9" s="4" t="n">
        <v>10</v>
      </c>
      <c r="C9" s="4" t="n">
        <v>48</v>
      </c>
      <c r="D9" s="5" t="s">
        <v>14</v>
      </c>
      <c r="E9" s="6" t="n">
        <v>0.1</v>
      </c>
      <c r="F9" s="7" t="n">
        <v>0.002</v>
      </c>
      <c r="G9" s="3" t="s">
        <v>44</v>
      </c>
      <c r="H9" s="5" t="s">
        <v>16</v>
      </c>
      <c r="I9" s="4" t="n">
        <v>0.053</v>
      </c>
      <c r="J9" s="3" t="s">
        <v>45</v>
      </c>
      <c r="K9" s="8" t="s">
        <v>46</v>
      </c>
      <c r="L9" s="3" t="s">
        <v>47</v>
      </c>
    </row>
    <row r="10" customFormat="false" ht="32.8" hidden="false" customHeight="false" outlineLevel="0" collapsed="false">
      <c r="A10" s="9" t="s">
        <v>48</v>
      </c>
      <c r="B10" s="10" t="n">
        <v>8.5</v>
      </c>
      <c r="C10" s="10" t="n">
        <v>47.4</v>
      </c>
      <c r="D10" s="11" t="s">
        <v>14</v>
      </c>
      <c r="E10" s="12" t="n">
        <v>0.1</v>
      </c>
      <c r="F10" s="13" t="n">
        <v>200</v>
      </c>
      <c r="G10" s="9" t="s">
        <v>49</v>
      </c>
      <c r="H10" s="11" t="s">
        <v>16</v>
      </c>
      <c r="I10" s="10" t="n">
        <v>0.384</v>
      </c>
      <c r="J10" s="9" t="s">
        <v>50</v>
      </c>
      <c r="K10" s="14"/>
      <c r="L10" s="9" t="s">
        <v>51</v>
      </c>
    </row>
  </sheetData>
  <autoFilter ref="A2:L2"/>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0A5FA"/>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5"/>
    <col collapsed="false" customWidth="true" hidden="false" outlineLevel="0" max="3" min="2" style="0" width="10"/>
    <col collapsed="false" customWidth="true" hidden="false" outlineLevel="0" max="4" min="4" style="0" width="12"/>
    <col collapsed="false" customWidth="true" hidden="false" outlineLevel="0" max="6" min="5" style="0" width="16"/>
    <col collapsed="false" customWidth="true" hidden="false" outlineLevel="0" max="7" min="7" style="0" width="35"/>
    <col collapsed="false" customWidth="true" hidden="false" outlineLevel="0" max="8" min="8" style="0" width="14"/>
    <col collapsed="false" customWidth="true" hidden="false" outlineLevel="0" max="9" min="9" style="0" width="40"/>
    <col collapsed="false" customWidth="true" hidden="false" outlineLevel="0" max="10" min="10" style="0" width="30"/>
    <col collapsed="false" customWidth="true" hidden="false" outlineLevel="0" max="11" min="11" style="0" width="45"/>
  </cols>
  <sheetData>
    <row r="1" customFormat="false" ht="27.75" hidden="false" customHeight="true" outlineLevel="0" collapsed="false">
      <c r="A1" s="15" t="s">
        <v>52</v>
      </c>
      <c r="B1" s="15"/>
      <c r="C1" s="15"/>
      <c r="D1" s="15"/>
      <c r="E1" s="15"/>
      <c r="F1" s="15"/>
      <c r="G1" s="15"/>
      <c r="H1" s="15"/>
      <c r="I1" s="15"/>
      <c r="J1" s="15"/>
      <c r="K1" s="15"/>
      <c r="L1" s="15"/>
    </row>
    <row r="2" customFormat="false" ht="36" hidden="false" customHeight="true" outlineLevel="0" collapsed="false">
      <c r="A2" s="16" t="s">
        <v>53</v>
      </c>
      <c r="B2" s="16" t="s">
        <v>2</v>
      </c>
      <c r="C2" s="16" t="s">
        <v>3</v>
      </c>
      <c r="D2" s="16" t="s">
        <v>4</v>
      </c>
      <c r="E2" s="16" t="s">
        <v>54</v>
      </c>
      <c r="F2" s="16" t="s">
        <v>55</v>
      </c>
      <c r="G2" s="16" t="s">
        <v>56</v>
      </c>
      <c r="H2" s="16" t="s">
        <v>9</v>
      </c>
      <c r="I2" s="16" t="s">
        <v>10</v>
      </c>
      <c r="J2" s="16" t="s">
        <v>11</v>
      </c>
      <c r="K2" s="16" t="s">
        <v>12</v>
      </c>
    </row>
    <row r="3" customFormat="false" ht="32.8" hidden="false" customHeight="false" outlineLevel="0" collapsed="false">
      <c r="A3" s="3" t="s">
        <v>57</v>
      </c>
      <c r="B3" s="4" t="n">
        <v>10</v>
      </c>
      <c r="C3" s="4" t="n">
        <v>50</v>
      </c>
      <c r="D3" s="5" t="s">
        <v>14</v>
      </c>
      <c r="E3" s="7" t="n">
        <v>0.00076</v>
      </c>
      <c r="F3" s="7" t="n">
        <v>0.00216</v>
      </c>
      <c r="G3" s="3" t="s">
        <v>58</v>
      </c>
      <c r="H3" s="4" t="n">
        <v>0.429</v>
      </c>
      <c r="I3" s="3" t="s">
        <v>59</v>
      </c>
      <c r="J3" s="8" t="s">
        <v>60</v>
      </c>
      <c r="K3" s="3" t="s">
        <v>61</v>
      </c>
    </row>
    <row r="4" customFormat="false" ht="32.8" hidden="false" customHeight="false" outlineLevel="0" collapsed="false">
      <c r="A4" s="9" t="s">
        <v>62</v>
      </c>
      <c r="B4" s="10" t="n">
        <v>-97</v>
      </c>
      <c r="C4" s="10" t="n">
        <v>38</v>
      </c>
      <c r="D4" s="11" t="s">
        <v>14</v>
      </c>
      <c r="E4" s="13" t="n">
        <v>9E-005</v>
      </c>
      <c r="F4" s="13" t="n">
        <v>0.00043</v>
      </c>
      <c r="G4" s="9" t="s">
        <v>58</v>
      </c>
      <c r="H4" s="10" t="n">
        <v>0.429</v>
      </c>
      <c r="I4" s="9" t="s">
        <v>59</v>
      </c>
      <c r="J4" s="14" t="s">
        <v>60</v>
      </c>
      <c r="K4" s="9" t="s">
        <v>63</v>
      </c>
    </row>
    <row r="5" customFormat="false" ht="43.25" hidden="false" customHeight="false" outlineLevel="0" collapsed="false">
      <c r="A5" s="3" t="s">
        <v>64</v>
      </c>
      <c r="B5" s="4" t="n">
        <v>8.2</v>
      </c>
      <c r="C5" s="4" t="n">
        <v>46.8</v>
      </c>
      <c r="D5" s="5" t="s">
        <v>14</v>
      </c>
      <c r="E5" s="7" t="n">
        <v>0.003</v>
      </c>
      <c r="F5" s="7" t="n">
        <v>0.01</v>
      </c>
      <c r="G5" s="3" t="s">
        <v>65</v>
      </c>
      <c r="H5" s="4" t="n">
        <v>0.429</v>
      </c>
      <c r="I5" s="3" t="s">
        <v>66</v>
      </c>
      <c r="J5" s="8" t="s">
        <v>67</v>
      </c>
      <c r="K5" s="3" t="s">
        <v>68</v>
      </c>
    </row>
    <row r="6" customFormat="false" ht="43.25" hidden="false" customHeight="false" outlineLevel="0" collapsed="false">
      <c r="A6" s="9" t="s">
        <v>69</v>
      </c>
      <c r="B6" s="10" t="n">
        <v>7.35</v>
      </c>
      <c r="C6" s="10" t="n">
        <v>47.36</v>
      </c>
      <c r="D6" s="11" t="s">
        <v>14</v>
      </c>
      <c r="E6" s="13" t="n">
        <v>0.0008</v>
      </c>
      <c r="F6" s="13" t="n">
        <v>0.0016</v>
      </c>
      <c r="G6" s="9" t="s">
        <v>70</v>
      </c>
      <c r="H6" s="10" t="n">
        <v>0.429</v>
      </c>
      <c r="I6" s="9" t="s">
        <v>66</v>
      </c>
      <c r="J6" s="14" t="s">
        <v>67</v>
      </c>
      <c r="K6" s="9" t="s">
        <v>71</v>
      </c>
    </row>
    <row r="7" customFormat="false" ht="43.25" hidden="false" customHeight="false" outlineLevel="0" collapsed="false">
      <c r="A7" s="3" t="s">
        <v>72</v>
      </c>
      <c r="B7" s="4" t="n">
        <v>6.5</v>
      </c>
      <c r="C7" s="4" t="n">
        <v>51</v>
      </c>
      <c r="D7" s="5" t="s">
        <v>14</v>
      </c>
      <c r="E7" s="7" t="n">
        <v>0.01</v>
      </c>
      <c r="F7" s="7" t="n">
        <v>0.32</v>
      </c>
      <c r="G7" s="3" t="s">
        <v>73</v>
      </c>
      <c r="H7" s="4" t="n">
        <v>0.429</v>
      </c>
      <c r="I7" s="3" t="s">
        <v>35</v>
      </c>
      <c r="J7" s="8" t="s">
        <v>74</v>
      </c>
      <c r="K7" s="3" t="s">
        <v>75</v>
      </c>
    </row>
    <row r="8" customFormat="false" ht="43.25" hidden="false" customHeight="false" outlineLevel="0" collapsed="false">
      <c r="A8" s="9" t="s">
        <v>76</v>
      </c>
      <c r="B8" s="10" t="n">
        <v>9</v>
      </c>
      <c r="C8" s="10" t="n">
        <v>51</v>
      </c>
      <c r="D8" s="11" t="s">
        <v>14</v>
      </c>
      <c r="E8" s="13" t="n">
        <v>2E-006</v>
      </c>
      <c r="F8" s="13" t="n">
        <v>0.00018</v>
      </c>
      <c r="G8" s="9" t="s">
        <v>77</v>
      </c>
      <c r="H8" s="10" t="n">
        <v>0.429</v>
      </c>
      <c r="I8" s="9" t="s">
        <v>78</v>
      </c>
      <c r="J8" s="14" t="s">
        <v>79</v>
      </c>
      <c r="K8" s="9" t="s">
        <v>80</v>
      </c>
    </row>
    <row r="9" customFormat="false" ht="43.25" hidden="false" customHeight="false" outlineLevel="0" collapsed="false">
      <c r="A9" s="3" t="s">
        <v>81</v>
      </c>
      <c r="B9" s="4" t="n">
        <v>-1.5</v>
      </c>
      <c r="C9" s="4" t="n">
        <v>52.5</v>
      </c>
      <c r="D9" s="5" t="s">
        <v>14</v>
      </c>
      <c r="E9" s="7" t="n">
        <v>0.0003</v>
      </c>
      <c r="F9" s="7" t="n">
        <v>0.001</v>
      </c>
      <c r="G9" s="3" t="s">
        <v>82</v>
      </c>
      <c r="H9" s="4" t="n">
        <v>0.429</v>
      </c>
      <c r="I9" s="3" t="s">
        <v>45</v>
      </c>
      <c r="J9" s="8" t="s">
        <v>83</v>
      </c>
      <c r="K9" s="3" t="s">
        <v>84</v>
      </c>
    </row>
    <row r="10" customFormat="false" ht="43.25" hidden="false" customHeight="false" outlineLevel="0" collapsed="false">
      <c r="A10" s="9" t="s">
        <v>85</v>
      </c>
      <c r="B10" s="10" t="n">
        <v>-1</v>
      </c>
      <c r="C10" s="10" t="n">
        <v>52</v>
      </c>
      <c r="D10" s="11" t="s">
        <v>14</v>
      </c>
      <c r="E10" s="13" t="n">
        <v>10</v>
      </c>
      <c r="F10" s="13" t="n">
        <v>100</v>
      </c>
      <c r="G10" s="9" t="s">
        <v>86</v>
      </c>
      <c r="H10" s="10" t="n">
        <v>0.571</v>
      </c>
      <c r="I10" s="9" t="s">
        <v>87</v>
      </c>
      <c r="J10" s="14" t="s">
        <v>88</v>
      </c>
      <c r="K10" s="9" t="s">
        <v>89</v>
      </c>
    </row>
    <row r="11" customFormat="false" ht="53.7" hidden="false" customHeight="false" outlineLevel="0" collapsed="false">
      <c r="A11" s="3" t="s">
        <v>90</v>
      </c>
      <c r="B11" s="4" t="n">
        <v>12</v>
      </c>
      <c r="C11" s="4" t="n">
        <v>48.5</v>
      </c>
      <c r="D11" s="5" t="s">
        <v>14</v>
      </c>
      <c r="E11" s="7" t="n">
        <v>0.00066</v>
      </c>
      <c r="F11" s="7" t="n">
        <v>0.016</v>
      </c>
      <c r="G11" s="3" t="s">
        <v>91</v>
      </c>
      <c r="H11" s="4" t="n">
        <v>0.429</v>
      </c>
      <c r="I11" s="3" t="s">
        <v>92</v>
      </c>
      <c r="J11" s="8" t="s">
        <v>93</v>
      </c>
      <c r="K11" s="3" t="s">
        <v>94</v>
      </c>
    </row>
    <row r="12" customFormat="false" ht="32.8" hidden="false" customHeight="false" outlineLevel="0" collapsed="false">
      <c r="A12" s="9" t="s">
        <v>95</v>
      </c>
      <c r="B12" s="10" t="n">
        <v>10.4</v>
      </c>
      <c r="C12" s="10" t="n">
        <v>51.2</v>
      </c>
      <c r="D12" s="11" t="s">
        <v>14</v>
      </c>
      <c r="E12" s="13" t="n">
        <v>0.025</v>
      </c>
      <c r="F12" s="13" t="n">
        <v>0.025</v>
      </c>
      <c r="G12" s="9" t="s">
        <v>96</v>
      </c>
      <c r="H12" s="10" t="n">
        <v>0.429</v>
      </c>
      <c r="I12" s="9" t="s">
        <v>78</v>
      </c>
      <c r="J12" s="14" t="s">
        <v>79</v>
      </c>
      <c r="K12" s="9" t="s">
        <v>97</v>
      </c>
    </row>
    <row r="13" customFormat="false" ht="43.25" hidden="false" customHeight="false" outlineLevel="0" collapsed="false">
      <c r="A13" s="3" t="s">
        <v>98</v>
      </c>
      <c r="B13" s="4" t="n">
        <v>10</v>
      </c>
      <c r="C13" s="4" t="n">
        <v>51.5</v>
      </c>
      <c r="D13" s="5" t="s">
        <v>14</v>
      </c>
      <c r="E13" s="7" t="n">
        <v>0.0005</v>
      </c>
      <c r="F13" s="7" t="n">
        <v>0.001</v>
      </c>
      <c r="G13" s="3" t="s">
        <v>99</v>
      </c>
      <c r="H13" s="4" t="n">
        <v>0.429</v>
      </c>
      <c r="I13" s="3" t="s">
        <v>100</v>
      </c>
      <c r="J13" s="8" t="s">
        <v>101</v>
      </c>
      <c r="K13" s="3" t="s">
        <v>102</v>
      </c>
    </row>
    <row r="14" customFormat="false" ht="43.25" hidden="false" customHeight="false" outlineLevel="0" collapsed="false">
      <c r="A14" s="9" t="s">
        <v>103</v>
      </c>
      <c r="B14" s="10" t="n">
        <v>5</v>
      </c>
      <c r="C14" s="10" t="n">
        <v>55</v>
      </c>
      <c r="D14" s="11" t="s">
        <v>104</v>
      </c>
      <c r="E14" s="13" t="n">
        <v>0</v>
      </c>
      <c r="F14" s="13" t="n">
        <v>1E-006</v>
      </c>
      <c r="G14" s="9" t="s">
        <v>99</v>
      </c>
      <c r="H14" s="10" t="n">
        <v>0.429</v>
      </c>
      <c r="I14" s="9" t="s">
        <v>100</v>
      </c>
      <c r="J14" s="14" t="s">
        <v>101</v>
      </c>
      <c r="K14" s="9" t="s">
        <v>105</v>
      </c>
    </row>
    <row r="15" customFormat="false" ht="43.25" hidden="false" customHeight="false" outlineLevel="0" collapsed="false">
      <c r="A15" s="3" t="s">
        <v>106</v>
      </c>
      <c r="B15" s="4" t="n">
        <v>0</v>
      </c>
      <c r="C15" s="4" t="n">
        <v>0</v>
      </c>
      <c r="D15" s="5" t="s">
        <v>104</v>
      </c>
      <c r="E15" s="7" t="n">
        <v>0</v>
      </c>
      <c r="F15" s="7" t="n">
        <v>0</v>
      </c>
      <c r="G15" s="3" t="s">
        <v>99</v>
      </c>
      <c r="H15" s="4" t="n">
        <v>0.429</v>
      </c>
      <c r="I15" s="3" t="s">
        <v>100</v>
      </c>
      <c r="J15" s="8" t="s">
        <v>101</v>
      </c>
      <c r="K15" s="3" t="s">
        <v>107</v>
      </c>
    </row>
    <row r="16" customFormat="false" ht="43.25" hidden="false" customHeight="false" outlineLevel="0" collapsed="false">
      <c r="A16" s="9" t="s">
        <v>108</v>
      </c>
      <c r="B16" s="10" t="n">
        <v>9</v>
      </c>
      <c r="C16" s="10" t="n">
        <v>49</v>
      </c>
      <c r="D16" s="11" t="s">
        <v>14</v>
      </c>
      <c r="E16" s="13" t="n">
        <v>0.043</v>
      </c>
      <c r="F16" s="13" t="n">
        <v>0.111</v>
      </c>
      <c r="G16" s="9" t="s">
        <v>58</v>
      </c>
      <c r="H16" s="10" t="n">
        <v>0.429</v>
      </c>
      <c r="I16" s="9" t="s">
        <v>59</v>
      </c>
      <c r="J16" s="14" t="s">
        <v>60</v>
      </c>
      <c r="K16" s="9" t="s">
        <v>109</v>
      </c>
    </row>
    <row r="17" customFormat="false" ht="53.7" hidden="false" customHeight="false" outlineLevel="0" collapsed="false">
      <c r="A17" s="3" t="s">
        <v>110</v>
      </c>
      <c r="B17" s="4" t="n">
        <v>8.5</v>
      </c>
      <c r="C17" s="4" t="n">
        <v>47</v>
      </c>
      <c r="D17" s="5" t="s">
        <v>14</v>
      </c>
      <c r="E17" s="7" t="n">
        <v>0.00061</v>
      </c>
      <c r="F17" s="7" t="n">
        <v>0.0015</v>
      </c>
      <c r="G17" s="3" t="s">
        <v>111</v>
      </c>
      <c r="H17" s="4" t="n">
        <v>0.429</v>
      </c>
      <c r="I17" s="3" t="s">
        <v>112</v>
      </c>
      <c r="J17" s="8" t="s">
        <v>113</v>
      </c>
      <c r="K17" s="3" t="s">
        <v>114</v>
      </c>
    </row>
    <row r="18" customFormat="false" ht="53.7" hidden="false" customHeight="false" outlineLevel="0" collapsed="false">
      <c r="A18" s="9" t="s">
        <v>115</v>
      </c>
      <c r="B18" s="10" t="n">
        <v>-122.4</v>
      </c>
      <c r="C18" s="10" t="n">
        <v>37.7</v>
      </c>
      <c r="D18" s="11" t="s">
        <v>14</v>
      </c>
      <c r="E18" s="13" t="n">
        <v>0.015</v>
      </c>
      <c r="F18" s="13" t="n">
        <v>0.15</v>
      </c>
      <c r="G18" s="9" t="s">
        <v>116</v>
      </c>
      <c r="H18" s="10" t="n">
        <v>0.429</v>
      </c>
      <c r="I18" s="9" t="s">
        <v>117</v>
      </c>
      <c r="J18" s="14" t="s">
        <v>118</v>
      </c>
      <c r="K18" s="9" t="s">
        <v>119</v>
      </c>
    </row>
    <row r="19" customFormat="false" ht="43.25" hidden="false" customHeight="false" outlineLevel="0" collapsed="false">
      <c r="A19" s="3" t="s">
        <v>120</v>
      </c>
      <c r="B19" s="4" t="n">
        <v>-98.4</v>
      </c>
      <c r="C19" s="4" t="n">
        <v>39.5</v>
      </c>
      <c r="D19" s="5" t="s">
        <v>14</v>
      </c>
      <c r="E19" s="7" t="n">
        <v>0.03</v>
      </c>
      <c r="F19" s="7" t="n">
        <v>0.32</v>
      </c>
      <c r="G19" s="3" t="s">
        <v>121</v>
      </c>
      <c r="H19" s="4" t="n">
        <v>0.429</v>
      </c>
      <c r="I19" s="3" t="s">
        <v>122</v>
      </c>
      <c r="J19" s="8" t="s">
        <v>123</v>
      </c>
      <c r="K19" s="3" t="s">
        <v>124</v>
      </c>
    </row>
    <row r="20" customFormat="false" ht="74.6" hidden="false" customHeight="false" outlineLevel="0" collapsed="false">
      <c r="A20" s="9" t="s">
        <v>125</v>
      </c>
      <c r="B20" s="10" t="n">
        <v>-77.5</v>
      </c>
      <c r="C20" s="10" t="n">
        <v>37.5</v>
      </c>
      <c r="D20" s="11" t="s">
        <v>14</v>
      </c>
      <c r="E20" s="13" t="n">
        <v>0.001</v>
      </c>
      <c r="F20" s="13" t="n">
        <v>0.01</v>
      </c>
      <c r="G20" s="9" t="s">
        <v>126</v>
      </c>
      <c r="H20" s="10" t="n">
        <v>0.429</v>
      </c>
      <c r="I20" s="9" t="s">
        <v>127</v>
      </c>
      <c r="J20" s="14" t="s">
        <v>128</v>
      </c>
      <c r="K20" s="9" t="s">
        <v>129</v>
      </c>
    </row>
    <row r="21" customFormat="false" ht="53.7" hidden="false" customHeight="false" outlineLevel="0" collapsed="false">
      <c r="A21" s="3" t="s">
        <v>130</v>
      </c>
      <c r="B21" s="4" t="n">
        <v>4.5</v>
      </c>
      <c r="C21" s="4" t="n">
        <v>50.5</v>
      </c>
      <c r="D21" s="5" t="s">
        <v>14</v>
      </c>
      <c r="E21" s="7" t="n">
        <v>3E-005</v>
      </c>
      <c r="F21" s="7" t="n">
        <v>0.0023</v>
      </c>
      <c r="G21" s="3" t="s">
        <v>131</v>
      </c>
      <c r="H21" s="4" t="n">
        <v>0.429</v>
      </c>
      <c r="I21" s="3" t="s">
        <v>78</v>
      </c>
      <c r="J21" s="8" t="s">
        <v>79</v>
      </c>
      <c r="K21" s="3" t="s">
        <v>132</v>
      </c>
    </row>
    <row r="22" customFormat="false" ht="32.8" hidden="false" customHeight="false" outlineLevel="0" collapsed="false">
      <c r="A22" s="9" t="s">
        <v>133</v>
      </c>
      <c r="B22" s="10" t="n">
        <v>17</v>
      </c>
      <c r="C22" s="10" t="n">
        <v>64</v>
      </c>
      <c r="D22" s="11" t="s">
        <v>14</v>
      </c>
      <c r="E22" s="13" t="n">
        <v>1E-006</v>
      </c>
      <c r="F22" s="13" t="n">
        <v>1E-005</v>
      </c>
      <c r="G22" s="9" t="s">
        <v>134</v>
      </c>
      <c r="H22" s="10" t="n">
        <v>0.429</v>
      </c>
      <c r="I22" s="9" t="s">
        <v>78</v>
      </c>
      <c r="J22" s="14" t="s">
        <v>79</v>
      </c>
      <c r="K22" s="9" t="s">
        <v>135</v>
      </c>
    </row>
    <row r="23" customFormat="false" ht="53.7" hidden="false" customHeight="false" outlineLevel="0" collapsed="false">
      <c r="A23" s="3" t="s">
        <v>136</v>
      </c>
      <c r="B23" s="4" t="n">
        <v>22</v>
      </c>
      <c r="C23" s="4" t="n">
        <v>46</v>
      </c>
      <c r="D23" s="5" t="s">
        <v>14</v>
      </c>
      <c r="E23" s="7" t="n">
        <v>5E-005</v>
      </c>
      <c r="F23" s="7" t="n">
        <v>0.0003</v>
      </c>
      <c r="G23" s="3" t="s">
        <v>134</v>
      </c>
      <c r="H23" s="4" t="n">
        <v>0.429</v>
      </c>
      <c r="I23" s="3" t="s">
        <v>78</v>
      </c>
      <c r="J23" s="8" t="s">
        <v>79</v>
      </c>
      <c r="K23" s="3" t="s">
        <v>137</v>
      </c>
    </row>
    <row r="24" customFormat="false" ht="53.7" hidden="false" customHeight="false" outlineLevel="0" collapsed="false">
      <c r="A24" s="9" t="s">
        <v>138</v>
      </c>
      <c r="B24" s="10" t="n">
        <v>15</v>
      </c>
      <c r="C24" s="10" t="n">
        <v>42</v>
      </c>
      <c r="D24" s="11" t="s">
        <v>104</v>
      </c>
      <c r="E24" s="13" t="n">
        <v>1E-006</v>
      </c>
      <c r="F24" s="13" t="n">
        <v>5E-006</v>
      </c>
      <c r="G24" s="9" t="s">
        <v>139</v>
      </c>
      <c r="H24" s="10" t="n">
        <v>0.429</v>
      </c>
      <c r="I24" s="9" t="s">
        <v>140</v>
      </c>
      <c r="J24" s="14" t="s">
        <v>60</v>
      </c>
      <c r="K24" s="9" t="s">
        <v>141</v>
      </c>
    </row>
    <row r="25" customFormat="false" ht="53.7" hidden="false" customHeight="false" outlineLevel="0" collapsed="false">
      <c r="A25" s="3" t="s">
        <v>142</v>
      </c>
      <c r="B25" s="4" t="n">
        <v>133</v>
      </c>
      <c r="C25" s="4" t="n">
        <v>-25</v>
      </c>
      <c r="D25" s="5" t="s">
        <v>14</v>
      </c>
      <c r="E25" s="7" t="n">
        <v>0.0001</v>
      </c>
      <c r="F25" s="7" t="n">
        <v>0.0005</v>
      </c>
      <c r="G25" s="3" t="s">
        <v>143</v>
      </c>
      <c r="H25" s="4" t="n">
        <v>0.429</v>
      </c>
      <c r="I25" s="3" t="s">
        <v>144</v>
      </c>
      <c r="J25" s="8" t="s">
        <v>145</v>
      </c>
      <c r="K25" s="3" t="s">
        <v>146</v>
      </c>
    </row>
    <row r="26" customFormat="false" ht="64.15" hidden="false" customHeight="false" outlineLevel="0" collapsed="false">
      <c r="A26" s="9" t="s">
        <v>147</v>
      </c>
      <c r="B26" s="10" t="n">
        <v>110</v>
      </c>
      <c r="C26" s="10" t="n">
        <v>30</v>
      </c>
      <c r="D26" s="11" t="s">
        <v>14</v>
      </c>
      <c r="E26" s="13" t="n">
        <v>0.001</v>
      </c>
      <c r="F26" s="13" t="n">
        <v>0.01</v>
      </c>
      <c r="G26" s="9" t="s">
        <v>148</v>
      </c>
      <c r="H26" s="10" t="n">
        <v>0.429</v>
      </c>
      <c r="I26" s="9" t="s">
        <v>149</v>
      </c>
      <c r="J26" s="14" t="s">
        <v>118</v>
      </c>
      <c r="K26" s="9" t="s">
        <v>150</v>
      </c>
    </row>
    <row r="27" customFormat="false" ht="74.6" hidden="false" customHeight="false" outlineLevel="0" collapsed="false">
      <c r="A27" s="3" t="s">
        <v>151</v>
      </c>
      <c r="B27" s="4" t="n">
        <v>101.7</v>
      </c>
      <c r="C27" s="4" t="n">
        <v>3.1</v>
      </c>
      <c r="D27" s="5" t="s">
        <v>14</v>
      </c>
      <c r="E27" s="7" t="n">
        <v>1000</v>
      </c>
      <c r="F27" s="7" t="n">
        <v>10160</v>
      </c>
      <c r="G27" s="3" t="s">
        <v>152</v>
      </c>
      <c r="H27" s="4" t="n">
        <v>0.857</v>
      </c>
      <c r="I27" s="3" t="s">
        <v>153</v>
      </c>
      <c r="J27" s="8" t="s">
        <v>31</v>
      </c>
      <c r="K27" s="3" t="s">
        <v>154</v>
      </c>
    </row>
    <row r="28" customFormat="false" ht="64.15" hidden="false" customHeight="false" outlineLevel="0" collapsed="false">
      <c r="A28" s="9" t="s">
        <v>155</v>
      </c>
      <c r="B28" s="10" t="n">
        <v>20</v>
      </c>
      <c r="C28" s="10" t="n">
        <v>0</v>
      </c>
      <c r="D28" s="11" t="s">
        <v>14</v>
      </c>
      <c r="E28" s="13" t="n">
        <v>0.00016</v>
      </c>
      <c r="F28" s="13" t="n">
        <v>0.001</v>
      </c>
      <c r="G28" s="9" t="s">
        <v>156</v>
      </c>
      <c r="H28" s="10" t="n">
        <v>0.429</v>
      </c>
      <c r="I28" s="9" t="s">
        <v>157</v>
      </c>
      <c r="J28" s="14" t="s">
        <v>123</v>
      </c>
      <c r="K28" s="9" t="s">
        <v>158</v>
      </c>
    </row>
    <row r="29" customFormat="false" ht="53.7" hidden="false" customHeight="false" outlineLevel="0" collapsed="false">
      <c r="A29" s="3" t="s">
        <v>159</v>
      </c>
      <c r="B29" s="4" t="n">
        <v>14</v>
      </c>
      <c r="C29" s="4" t="n">
        <v>48</v>
      </c>
      <c r="D29" s="5" t="s">
        <v>14</v>
      </c>
      <c r="E29" s="7" t="n">
        <v>0.0012</v>
      </c>
      <c r="F29" s="7" t="n">
        <v>0.005</v>
      </c>
      <c r="G29" s="3" t="s">
        <v>160</v>
      </c>
      <c r="H29" s="4" t="n">
        <v>0.429</v>
      </c>
      <c r="I29" s="3" t="s">
        <v>161</v>
      </c>
      <c r="J29" s="8" t="s">
        <v>162</v>
      </c>
      <c r="K29" s="3" t="s">
        <v>163</v>
      </c>
    </row>
    <row r="30" customFormat="false" ht="53.7" hidden="false" customHeight="false" outlineLevel="0" collapsed="false">
      <c r="A30" s="9" t="s">
        <v>164</v>
      </c>
      <c r="B30" s="10" t="n">
        <v>-96</v>
      </c>
      <c r="C30" s="10" t="n">
        <v>56</v>
      </c>
      <c r="D30" s="11" t="s">
        <v>14</v>
      </c>
      <c r="E30" s="13" t="n">
        <v>0.01</v>
      </c>
      <c r="F30" s="13" t="n">
        <v>0.1</v>
      </c>
      <c r="G30" s="9" t="s">
        <v>165</v>
      </c>
      <c r="H30" s="10" t="n">
        <v>0.429</v>
      </c>
      <c r="I30" s="9" t="s">
        <v>166</v>
      </c>
      <c r="J30" s="14" t="s">
        <v>60</v>
      </c>
      <c r="K30" s="9" t="s">
        <v>167</v>
      </c>
    </row>
    <row r="31" customFormat="false" ht="53.7" hidden="false" customHeight="false" outlineLevel="0" collapsed="false">
      <c r="A31" s="3" t="s">
        <v>168</v>
      </c>
      <c r="B31" s="4" t="n">
        <v>-55</v>
      </c>
      <c r="C31" s="4" t="n">
        <v>-15</v>
      </c>
      <c r="D31" s="5" t="s">
        <v>14</v>
      </c>
      <c r="E31" s="7" t="n">
        <v>0.0002</v>
      </c>
      <c r="F31" s="7" t="n">
        <v>0.001</v>
      </c>
      <c r="G31" s="3" t="s">
        <v>169</v>
      </c>
      <c r="H31" s="4" t="n">
        <v>0.429</v>
      </c>
      <c r="I31" s="3" t="s">
        <v>117</v>
      </c>
      <c r="J31" s="8" t="s">
        <v>118</v>
      </c>
      <c r="K31" s="3" t="s">
        <v>170</v>
      </c>
    </row>
    <row r="32" customFormat="false" ht="43.25" hidden="false" customHeight="false" outlineLevel="0" collapsed="false">
      <c r="A32" s="9" t="s">
        <v>171</v>
      </c>
      <c r="B32" s="10" t="n">
        <v>25</v>
      </c>
      <c r="C32" s="10" t="n">
        <v>0</v>
      </c>
      <c r="D32" s="11" t="s">
        <v>14</v>
      </c>
      <c r="E32" s="13" t="n">
        <v>5E-005</v>
      </c>
      <c r="F32" s="13" t="n">
        <v>0.0002</v>
      </c>
      <c r="G32" s="9" t="s">
        <v>169</v>
      </c>
      <c r="H32" s="10" t="n">
        <v>0.429</v>
      </c>
      <c r="I32" s="9" t="s">
        <v>117</v>
      </c>
      <c r="J32" s="14" t="s">
        <v>118</v>
      </c>
      <c r="K32" s="9" t="s">
        <v>172</v>
      </c>
    </row>
    <row r="33" customFormat="false" ht="43.25" hidden="false" customHeight="false" outlineLevel="0" collapsed="false">
      <c r="A33" s="3" t="s">
        <v>173</v>
      </c>
      <c r="B33" s="4" t="n">
        <v>45</v>
      </c>
      <c r="C33" s="4" t="n">
        <v>25</v>
      </c>
      <c r="D33" s="5" t="s">
        <v>14</v>
      </c>
      <c r="E33" s="7" t="n">
        <v>0.00015</v>
      </c>
      <c r="F33" s="7" t="n">
        <v>0.0007</v>
      </c>
      <c r="G33" s="3" t="s">
        <v>169</v>
      </c>
      <c r="H33" s="4" t="n">
        <v>0.429</v>
      </c>
      <c r="I33" s="3" t="s">
        <v>117</v>
      </c>
      <c r="J33" s="8" t="s">
        <v>118</v>
      </c>
      <c r="K33" s="3" t="s">
        <v>174</v>
      </c>
    </row>
  </sheetData>
  <autoFilter ref="A2:K2"/>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78BFA"/>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sheetData>
    <row r="1" customFormat="false" ht="27.75" hidden="false" customHeight="true" outlineLevel="0" collapsed="false">
      <c r="A1" s="17" t="s">
        <v>175</v>
      </c>
      <c r="B1" s="17"/>
      <c r="C1" s="17"/>
      <c r="D1" s="17"/>
      <c r="E1" s="17"/>
      <c r="F1" s="17"/>
      <c r="G1" s="17"/>
      <c r="H1" s="17"/>
      <c r="I1" s="17"/>
      <c r="J1" s="17"/>
      <c r="K1" s="17"/>
      <c r="L1" s="17"/>
    </row>
    <row r="2" customFormat="false" ht="15" hidden="false" customHeight="false" outlineLevel="0" collapsed="false">
      <c r="A2" s="18" t="s">
        <v>176</v>
      </c>
      <c r="B2" s="18" t="s">
        <v>177</v>
      </c>
      <c r="C2" s="18" t="s">
        <v>178</v>
      </c>
      <c r="D2" s="18" t="s">
        <v>179</v>
      </c>
      <c r="E2" s="18" t="s">
        <v>180</v>
      </c>
      <c r="F2" s="18" t="s">
        <v>181</v>
      </c>
      <c r="G2" s="18" t="s">
        <v>182</v>
      </c>
      <c r="H2" s="18" t="s">
        <v>183</v>
      </c>
      <c r="I2" s="18" t="s">
        <v>184</v>
      </c>
      <c r="J2" s="18" t="s">
        <v>10</v>
      </c>
      <c r="K2" s="18" t="s">
        <v>11</v>
      </c>
      <c r="L2" s="18" t="s">
        <v>12</v>
      </c>
    </row>
    <row r="3" customFormat="false" ht="252.2" hidden="false" customHeight="false" outlineLevel="0" collapsed="false">
      <c r="A3" s="8" t="s">
        <v>185</v>
      </c>
      <c r="B3" s="19" t="s">
        <v>186</v>
      </c>
      <c r="C3" s="5" t="s">
        <v>14</v>
      </c>
      <c r="D3" s="5" t="s">
        <v>187</v>
      </c>
      <c r="E3" s="20" t="n">
        <v>0.004</v>
      </c>
      <c r="F3" s="21" t="n">
        <v>48</v>
      </c>
      <c r="G3" s="21" t="n">
        <v>7</v>
      </c>
      <c r="H3" s="8" t="s">
        <v>188</v>
      </c>
      <c r="I3" s="8" t="s">
        <v>189</v>
      </c>
      <c r="J3" s="3" t="s">
        <v>190</v>
      </c>
      <c r="K3" s="8" t="s">
        <v>191</v>
      </c>
      <c r="L3" s="3" t="s">
        <v>192</v>
      </c>
    </row>
    <row r="4" customFormat="false" ht="231.3" hidden="false" customHeight="false" outlineLevel="0" collapsed="false">
      <c r="A4" s="14" t="s">
        <v>193</v>
      </c>
      <c r="B4" s="22" t="s">
        <v>194</v>
      </c>
      <c r="C4" s="11" t="s">
        <v>14</v>
      </c>
      <c r="D4" s="11" t="s">
        <v>187</v>
      </c>
      <c r="E4" s="23" t="n">
        <v>0.084</v>
      </c>
      <c r="F4" s="24" t="n">
        <v>48</v>
      </c>
      <c r="G4" s="24" t="n">
        <v>81</v>
      </c>
      <c r="H4" s="14" t="s">
        <v>195</v>
      </c>
      <c r="I4" s="14" t="s">
        <v>189</v>
      </c>
      <c r="J4" s="9" t="s">
        <v>196</v>
      </c>
      <c r="K4" s="14" t="s">
        <v>197</v>
      </c>
      <c r="L4" s="9" t="s">
        <v>198</v>
      </c>
    </row>
    <row r="5" customFormat="false" ht="325.35" hidden="false" customHeight="false" outlineLevel="0" collapsed="false">
      <c r="A5" s="8" t="s">
        <v>199</v>
      </c>
      <c r="B5" s="19" t="s">
        <v>200</v>
      </c>
      <c r="C5" s="5" t="s">
        <v>201</v>
      </c>
      <c r="D5" s="5" t="s">
        <v>187</v>
      </c>
      <c r="E5" s="20" t="n">
        <v>2</v>
      </c>
      <c r="F5" s="21" t="n">
        <v>48</v>
      </c>
      <c r="G5" s="21"/>
      <c r="H5" s="8" t="s">
        <v>202</v>
      </c>
      <c r="I5" s="8" t="s">
        <v>189</v>
      </c>
      <c r="J5" s="3" t="s">
        <v>203</v>
      </c>
      <c r="K5" s="8" t="s">
        <v>204</v>
      </c>
      <c r="L5" s="3" t="s">
        <v>205</v>
      </c>
    </row>
    <row r="6" customFormat="false" ht="325.35" hidden="false" customHeight="false" outlineLevel="0" collapsed="false">
      <c r="A6" s="14" t="s">
        <v>206</v>
      </c>
      <c r="B6" s="22" t="s">
        <v>207</v>
      </c>
      <c r="C6" s="11" t="s">
        <v>201</v>
      </c>
      <c r="D6" s="11" t="s">
        <v>187</v>
      </c>
      <c r="E6" s="23" t="n">
        <v>2</v>
      </c>
      <c r="F6" s="24" t="n">
        <v>48</v>
      </c>
      <c r="G6" s="24"/>
      <c r="H6" s="14" t="s">
        <v>202</v>
      </c>
      <c r="I6" s="14" t="s">
        <v>189</v>
      </c>
      <c r="J6" s="9" t="s">
        <v>208</v>
      </c>
      <c r="K6" s="14" t="s">
        <v>204</v>
      </c>
      <c r="L6" s="9" t="s">
        <v>209</v>
      </c>
    </row>
    <row r="7" customFormat="false" ht="335.05" hidden="false" customHeight="false" outlineLevel="0" collapsed="false">
      <c r="A7" s="8" t="s">
        <v>210</v>
      </c>
      <c r="B7" s="19" t="s">
        <v>211</v>
      </c>
      <c r="C7" s="5" t="s">
        <v>14</v>
      </c>
      <c r="D7" s="5" t="s">
        <v>187</v>
      </c>
      <c r="E7" s="20" t="n">
        <v>2.3</v>
      </c>
      <c r="F7" s="21" t="n">
        <v>96</v>
      </c>
      <c r="G7" s="21"/>
      <c r="H7" s="8" t="s">
        <v>212</v>
      </c>
      <c r="I7" s="8" t="s">
        <v>189</v>
      </c>
      <c r="J7" s="3" t="s">
        <v>213</v>
      </c>
      <c r="K7" s="8" t="s">
        <v>214</v>
      </c>
      <c r="L7" s="3" t="s">
        <v>215</v>
      </c>
    </row>
    <row r="8" customFormat="false" ht="314.9" hidden="false" customHeight="false" outlineLevel="0" collapsed="false">
      <c r="A8" s="14" t="s">
        <v>216</v>
      </c>
      <c r="B8" s="22" t="s">
        <v>217</v>
      </c>
      <c r="C8" s="11" t="s">
        <v>14</v>
      </c>
      <c r="D8" s="11" t="s">
        <v>187</v>
      </c>
      <c r="E8" s="23" t="n">
        <v>0.0894</v>
      </c>
      <c r="F8" s="24" t="n">
        <v>96</v>
      </c>
      <c r="G8" s="24" t="n">
        <v>10</v>
      </c>
      <c r="H8" s="14" t="s">
        <v>218</v>
      </c>
      <c r="I8" s="14" t="s">
        <v>189</v>
      </c>
      <c r="J8" s="9" t="s">
        <v>219</v>
      </c>
      <c r="K8" s="14" t="s">
        <v>220</v>
      </c>
      <c r="L8" s="9" t="s">
        <v>221</v>
      </c>
    </row>
    <row r="9" customFormat="false" ht="345.5" hidden="false" customHeight="false" outlineLevel="0" collapsed="false">
      <c r="A9" s="8" t="s">
        <v>222</v>
      </c>
      <c r="B9" s="19" t="s">
        <v>223</v>
      </c>
      <c r="C9" s="5" t="s">
        <v>14</v>
      </c>
      <c r="D9" s="5" t="s">
        <v>187</v>
      </c>
      <c r="E9" s="20" t="n">
        <v>0.8</v>
      </c>
      <c r="F9" s="21" t="n">
        <v>96</v>
      </c>
      <c r="G9" s="21" t="n">
        <v>8</v>
      </c>
      <c r="H9" s="8" t="s">
        <v>188</v>
      </c>
      <c r="I9" s="8" t="s">
        <v>224</v>
      </c>
      <c r="J9" s="3" t="s">
        <v>225</v>
      </c>
      <c r="K9" s="8" t="s">
        <v>214</v>
      </c>
      <c r="L9" s="3" t="s">
        <v>226</v>
      </c>
    </row>
    <row r="10" customFormat="false" ht="325.35" hidden="false" customHeight="false" outlineLevel="0" collapsed="false">
      <c r="A10" s="14" t="s">
        <v>227</v>
      </c>
      <c r="B10" s="22" t="s">
        <v>228</v>
      </c>
      <c r="C10" s="11" t="s">
        <v>14</v>
      </c>
      <c r="D10" s="11" t="s">
        <v>187</v>
      </c>
      <c r="E10" s="23" t="n">
        <v>83.9</v>
      </c>
      <c r="F10" s="24" t="n">
        <v>96</v>
      </c>
      <c r="G10" s="24"/>
      <c r="H10" s="14" t="s">
        <v>229</v>
      </c>
      <c r="I10" s="14" t="s">
        <v>189</v>
      </c>
      <c r="J10" s="9" t="s">
        <v>230</v>
      </c>
      <c r="K10" s="14" t="s">
        <v>231</v>
      </c>
      <c r="L10" s="9" t="s">
        <v>232</v>
      </c>
    </row>
    <row r="11" customFormat="false" ht="335.05" hidden="false" customHeight="false" outlineLevel="0" collapsed="false">
      <c r="A11" s="8" t="s">
        <v>233</v>
      </c>
      <c r="B11" s="19" t="s">
        <v>234</v>
      </c>
      <c r="C11" s="5" t="s">
        <v>235</v>
      </c>
      <c r="D11" s="5" t="s">
        <v>187</v>
      </c>
      <c r="E11" s="20" t="n">
        <v>4.74</v>
      </c>
      <c r="F11" s="21" t="n">
        <v>24</v>
      </c>
      <c r="G11" s="21" t="n">
        <v>20</v>
      </c>
      <c r="H11" s="8" t="s">
        <v>236</v>
      </c>
      <c r="I11" s="8" t="s">
        <v>189</v>
      </c>
      <c r="J11" s="3" t="s">
        <v>237</v>
      </c>
      <c r="K11" s="8" t="s">
        <v>238</v>
      </c>
      <c r="L11" s="3" t="s">
        <v>239</v>
      </c>
    </row>
    <row r="12" customFormat="false" ht="355.95" hidden="false" customHeight="false" outlineLevel="0" collapsed="false">
      <c r="A12" s="14" t="s">
        <v>240</v>
      </c>
      <c r="B12" s="22" t="s">
        <v>241</v>
      </c>
      <c r="C12" s="11" t="s">
        <v>235</v>
      </c>
      <c r="D12" s="11" t="s">
        <v>187</v>
      </c>
      <c r="E12" s="23" t="n">
        <v>2.05</v>
      </c>
      <c r="F12" s="24" t="n">
        <v>24</v>
      </c>
      <c r="G12" s="24" t="n">
        <v>5</v>
      </c>
      <c r="H12" s="14" t="s">
        <v>242</v>
      </c>
      <c r="I12" s="14" t="s">
        <v>189</v>
      </c>
      <c r="J12" s="9" t="s">
        <v>243</v>
      </c>
      <c r="K12" s="14" t="s">
        <v>244</v>
      </c>
      <c r="L12" s="9" t="s">
        <v>245</v>
      </c>
    </row>
    <row r="13" customFormat="false" ht="283.55" hidden="false" customHeight="false" outlineLevel="0" collapsed="false">
      <c r="A13" s="8" t="s">
        <v>246</v>
      </c>
      <c r="B13" s="19" t="s">
        <v>247</v>
      </c>
      <c r="C13" s="5" t="s">
        <v>235</v>
      </c>
      <c r="D13" s="5" t="s">
        <v>187</v>
      </c>
      <c r="E13" s="20" t="n">
        <v>3.79</v>
      </c>
      <c r="F13" s="21" t="n">
        <v>48</v>
      </c>
      <c r="G13" s="21"/>
      <c r="H13" s="8" t="s">
        <v>248</v>
      </c>
      <c r="I13" s="8" t="s">
        <v>189</v>
      </c>
      <c r="J13" s="3" t="s">
        <v>249</v>
      </c>
      <c r="K13" s="8" t="s">
        <v>250</v>
      </c>
      <c r="L13" s="3" t="s">
        <v>251</v>
      </c>
    </row>
    <row r="14" customFormat="false" ht="335.05" hidden="false" customHeight="false" outlineLevel="0" collapsed="false">
      <c r="A14" s="14" t="s">
        <v>252</v>
      </c>
      <c r="B14" s="22" t="s">
        <v>253</v>
      </c>
      <c r="C14" s="11" t="s">
        <v>14</v>
      </c>
      <c r="D14" s="11" t="s">
        <v>187</v>
      </c>
      <c r="E14" s="23" t="n">
        <v>0.43</v>
      </c>
      <c r="F14" s="24" t="n">
        <v>96</v>
      </c>
      <c r="G14" s="24"/>
      <c r="H14" s="14" t="s">
        <v>254</v>
      </c>
      <c r="I14" s="14" t="s">
        <v>224</v>
      </c>
      <c r="J14" s="9" t="s">
        <v>255</v>
      </c>
      <c r="K14" s="14" t="s">
        <v>214</v>
      </c>
      <c r="L14" s="9" t="s">
        <v>256</v>
      </c>
    </row>
    <row r="15" customFormat="false" ht="355.95" hidden="false" customHeight="false" outlineLevel="0" collapsed="false">
      <c r="A15" s="8" t="s">
        <v>257</v>
      </c>
      <c r="B15" s="19" t="s">
        <v>258</v>
      </c>
      <c r="C15" s="5" t="s">
        <v>235</v>
      </c>
      <c r="D15" s="5" t="s">
        <v>187</v>
      </c>
      <c r="E15" s="20" t="n">
        <v>0.1</v>
      </c>
      <c r="F15" s="21" t="n">
        <v>48</v>
      </c>
      <c r="G15" s="21" t="n">
        <v>60</v>
      </c>
      <c r="H15" s="8" t="s">
        <v>259</v>
      </c>
      <c r="I15" s="8" t="s">
        <v>189</v>
      </c>
      <c r="J15" s="3" t="s">
        <v>260</v>
      </c>
      <c r="K15" s="8" t="s">
        <v>261</v>
      </c>
      <c r="L15" s="3" t="s">
        <v>262</v>
      </c>
    </row>
    <row r="16" customFormat="false" ht="314.9" hidden="false" customHeight="false" outlineLevel="0" collapsed="false">
      <c r="A16" s="25" t="s">
        <v>263</v>
      </c>
      <c r="B16" s="26" t="s">
        <v>264</v>
      </c>
      <c r="C16" s="27" t="s">
        <v>224</v>
      </c>
      <c r="D16" s="27" t="s">
        <v>265</v>
      </c>
      <c r="E16" s="28" t="n">
        <v>0.51</v>
      </c>
      <c r="F16" s="29" t="n">
        <v>192</v>
      </c>
      <c r="G16" s="29" t="n">
        <v>20</v>
      </c>
      <c r="H16" s="30" t="s">
        <v>188</v>
      </c>
      <c r="I16" s="30" t="s">
        <v>189</v>
      </c>
      <c r="J16" s="31" t="s">
        <v>266</v>
      </c>
      <c r="K16" s="30" t="s">
        <v>267</v>
      </c>
      <c r="L16" s="31" t="s">
        <v>268</v>
      </c>
    </row>
    <row r="17" customFormat="false" ht="262.65" hidden="false" customHeight="false" outlineLevel="0" collapsed="false">
      <c r="A17" s="25" t="s">
        <v>269</v>
      </c>
      <c r="B17" s="26" t="s">
        <v>270</v>
      </c>
      <c r="C17" s="27" t="s">
        <v>235</v>
      </c>
      <c r="D17" s="27" t="s">
        <v>265</v>
      </c>
      <c r="E17" s="28" t="n">
        <v>0.22</v>
      </c>
      <c r="F17" s="29" t="n">
        <v>72</v>
      </c>
      <c r="G17" s="29" t="n">
        <v>20</v>
      </c>
      <c r="H17" s="30" t="s">
        <v>271</v>
      </c>
      <c r="I17" s="30" t="s">
        <v>189</v>
      </c>
      <c r="J17" s="31" t="s">
        <v>272</v>
      </c>
      <c r="K17" s="30" t="s">
        <v>273</v>
      </c>
      <c r="L17" s="31" t="s">
        <v>274</v>
      </c>
    </row>
    <row r="18" customFormat="false" ht="262.65" hidden="false" customHeight="false" outlineLevel="0" collapsed="false">
      <c r="A18" s="25" t="s">
        <v>275</v>
      </c>
      <c r="B18" s="26" t="s">
        <v>276</v>
      </c>
      <c r="C18" s="27" t="s">
        <v>224</v>
      </c>
      <c r="D18" s="27" t="s">
        <v>265</v>
      </c>
      <c r="E18" s="28" t="n">
        <v>0.165</v>
      </c>
      <c r="F18" s="29" t="n">
        <v>96</v>
      </c>
      <c r="G18" s="29" t="n">
        <v>30</v>
      </c>
      <c r="H18" s="30" t="s">
        <v>277</v>
      </c>
      <c r="I18" s="30" t="s">
        <v>278</v>
      </c>
      <c r="J18" s="31" t="s">
        <v>279</v>
      </c>
      <c r="K18" s="30" t="s">
        <v>280</v>
      </c>
      <c r="L18" s="31" t="s">
        <v>281</v>
      </c>
    </row>
    <row r="19" customFormat="false" ht="345.5" hidden="false" customHeight="false" outlineLevel="0" collapsed="false">
      <c r="A19" s="25" t="s">
        <v>282</v>
      </c>
      <c r="B19" s="26" t="s">
        <v>283</v>
      </c>
      <c r="C19" s="27" t="s">
        <v>224</v>
      </c>
      <c r="D19" s="27" t="s">
        <v>265</v>
      </c>
      <c r="E19" s="28" t="n">
        <v>0.05</v>
      </c>
      <c r="F19" s="29" t="n">
        <v>96</v>
      </c>
      <c r="G19" s="29" t="n">
        <v>20</v>
      </c>
      <c r="H19" s="30" t="s">
        <v>188</v>
      </c>
      <c r="I19" s="30" t="s">
        <v>189</v>
      </c>
      <c r="J19" s="31" t="s">
        <v>284</v>
      </c>
      <c r="K19" s="30" t="s">
        <v>285</v>
      </c>
      <c r="L19" s="31" t="s">
        <v>286</v>
      </c>
    </row>
    <row r="20" customFormat="false" ht="355.95" hidden="false" customHeight="false" outlineLevel="0" collapsed="false">
      <c r="A20" s="25" t="s">
        <v>287</v>
      </c>
      <c r="B20" s="26" t="s">
        <v>288</v>
      </c>
      <c r="C20" s="27" t="s">
        <v>224</v>
      </c>
      <c r="D20" s="27" t="s">
        <v>265</v>
      </c>
      <c r="E20" s="28" t="n">
        <v>0.95</v>
      </c>
      <c r="F20" s="29" t="n">
        <v>96</v>
      </c>
      <c r="G20" s="29" t="n">
        <v>25</v>
      </c>
      <c r="H20" s="30" t="s">
        <v>289</v>
      </c>
      <c r="I20" s="30" t="s">
        <v>290</v>
      </c>
      <c r="J20" s="31" t="s">
        <v>291</v>
      </c>
      <c r="K20" s="30" t="s">
        <v>292</v>
      </c>
      <c r="L20" s="31" t="s">
        <v>293</v>
      </c>
    </row>
    <row r="21" customFormat="false" ht="335.05" hidden="false" customHeight="false" outlineLevel="0" collapsed="false">
      <c r="A21" s="25" t="s">
        <v>294</v>
      </c>
      <c r="B21" s="26" t="s">
        <v>295</v>
      </c>
      <c r="C21" s="27" t="s">
        <v>224</v>
      </c>
      <c r="D21" s="27" t="s">
        <v>265</v>
      </c>
      <c r="E21" s="28" t="n">
        <v>0.1</v>
      </c>
      <c r="F21" s="29" t="n">
        <v>96</v>
      </c>
      <c r="G21" s="29" t="n">
        <v>20</v>
      </c>
      <c r="H21" s="30" t="s">
        <v>259</v>
      </c>
      <c r="I21" s="30" t="s">
        <v>189</v>
      </c>
      <c r="J21" s="31" t="s">
        <v>296</v>
      </c>
      <c r="K21" s="30" t="s">
        <v>297</v>
      </c>
      <c r="L21" s="31" t="s">
        <v>298</v>
      </c>
    </row>
    <row r="22" customFormat="false" ht="262.65" hidden="false" customHeight="false" outlineLevel="0" collapsed="false">
      <c r="A22" s="25" t="s">
        <v>299</v>
      </c>
      <c r="B22" s="26" t="s">
        <v>300</v>
      </c>
      <c r="C22" s="27" t="s">
        <v>224</v>
      </c>
      <c r="D22" s="27" t="s">
        <v>265</v>
      </c>
      <c r="E22" s="28" t="n">
        <v>0.003</v>
      </c>
      <c r="F22" s="29" t="n">
        <v>48</v>
      </c>
      <c r="G22" s="29" t="n">
        <v>20</v>
      </c>
      <c r="H22" s="30" t="s">
        <v>301</v>
      </c>
      <c r="I22" s="30" t="s">
        <v>224</v>
      </c>
      <c r="J22" s="31" t="s">
        <v>302</v>
      </c>
      <c r="K22" s="30" t="s">
        <v>303</v>
      </c>
      <c r="L22" s="31" t="s">
        <v>304</v>
      </c>
    </row>
    <row r="23" customFormat="false" ht="294" hidden="false" customHeight="false" outlineLevel="0" collapsed="false">
      <c r="A23" s="25" t="s">
        <v>305</v>
      </c>
      <c r="B23" s="26" t="s">
        <v>306</v>
      </c>
      <c r="C23" s="27" t="s">
        <v>224</v>
      </c>
      <c r="D23" s="27" t="s">
        <v>265</v>
      </c>
      <c r="E23" s="28" t="n">
        <v>0.011</v>
      </c>
      <c r="F23" s="29" t="n">
        <v>96</v>
      </c>
      <c r="G23" s="29" t="n">
        <v>20</v>
      </c>
      <c r="H23" s="30" t="s">
        <v>301</v>
      </c>
      <c r="I23" s="30" t="s">
        <v>224</v>
      </c>
      <c r="J23" s="31" t="s">
        <v>307</v>
      </c>
      <c r="K23" s="30" t="s">
        <v>303</v>
      </c>
      <c r="L23" s="31" t="s">
        <v>308</v>
      </c>
    </row>
    <row r="24" customFormat="false" ht="210.4" hidden="false" customHeight="false" outlineLevel="0" collapsed="false">
      <c r="A24" s="25" t="s">
        <v>309</v>
      </c>
      <c r="B24" s="26" t="s">
        <v>310</v>
      </c>
      <c r="C24" s="27" t="s">
        <v>224</v>
      </c>
      <c r="D24" s="27" t="s">
        <v>265</v>
      </c>
      <c r="E24" s="28" t="n">
        <v>0.085</v>
      </c>
      <c r="F24" s="29" t="n">
        <v>96</v>
      </c>
      <c r="G24" s="29" t="n">
        <v>20</v>
      </c>
      <c r="H24" s="30" t="s">
        <v>301</v>
      </c>
      <c r="I24" s="30" t="s">
        <v>224</v>
      </c>
      <c r="J24" s="31" t="s">
        <v>302</v>
      </c>
      <c r="K24" s="30" t="s">
        <v>303</v>
      </c>
      <c r="L24" s="31" t="s">
        <v>311</v>
      </c>
    </row>
    <row r="25" customFormat="false" ht="294" hidden="false" customHeight="false" outlineLevel="0" collapsed="false">
      <c r="A25" s="25" t="s">
        <v>312</v>
      </c>
      <c r="B25" s="26" t="s">
        <v>313</v>
      </c>
      <c r="C25" s="27" t="s">
        <v>224</v>
      </c>
      <c r="D25" s="27" t="s">
        <v>265</v>
      </c>
      <c r="E25" s="28" t="n">
        <v>0.34</v>
      </c>
      <c r="F25" s="29" t="n">
        <v>96</v>
      </c>
      <c r="G25" s="29" t="n">
        <v>25</v>
      </c>
      <c r="H25" s="30" t="s">
        <v>314</v>
      </c>
      <c r="I25" s="30" t="s">
        <v>315</v>
      </c>
      <c r="J25" s="31" t="s">
        <v>316</v>
      </c>
      <c r="K25" s="30"/>
      <c r="L25" s="31" t="s">
        <v>317</v>
      </c>
    </row>
    <row r="26" customFormat="false" ht="345.5" hidden="false" customHeight="false" outlineLevel="0" collapsed="false">
      <c r="A26" s="25" t="s">
        <v>318</v>
      </c>
      <c r="B26" s="26" t="s">
        <v>319</v>
      </c>
      <c r="C26" s="27" t="s">
        <v>320</v>
      </c>
      <c r="D26" s="27" t="s">
        <v>265</v>
      </c>
      <c r="E26" s="28" t="n">
        <v>3.2</v>
      </c>
      <c r="F26" s="29" t="n">
        <v>96</v>
      </c>
      <c r="G26" s="29" t="n">
        <v>40</v>
      </c>
      <c r="H26" s="30" t="s">
        <v>188</v>
      </c>
      <c r="I26" s="30" t="s">
        <v>189</v>
      </c>
      <c r="J26" s="31" t="s">
        <v>321</v>
      </c>
      <c r="K26" s="30" t="s">
        <v>322</v>
      </c>
      <c r="L26" s="31" t="s">
        <v>323</v>
      </c>
    </row>
    <row r="27" customFormat="false" ht="345.5" hidden="false" customHeight="false" outlineLevel="0" collapsed="false">
      <c r="A27" s="25" t="s">
        <v>324</v>
      </c>
      <c r="B27" s="26" t="s">
        <v>325</v>
      </c>
      <c r="C27" s="27" t="s">
        <v>224</v>
      </c>
      <c r="D27" s="27" t="s">
        <v>265</v>
      </c>
      <c r="E27" s="28" t="n">
        <v>0.000796</v>
      </c>
      <c r="F27" s="29" t="n">
        <v>1</v>
      </c>
      <c r="G27" s="29" t="n">
        <v>35</v>
      </c>
      <c r="H27" s="30" t="s">
        <v>326</v>
      </c>
      <c r="I27" s="30" t="s">
        <v>224</v>
      </c>
      <c r="J27" s="31" t="s">
        <v>327</v>
      </c>
      <c r="K27" s="30" t="s">
        <v>328</v>
      </c>
      <c r="L27" s="31" t="s">
        <v>329</v>
      </c>
    </row>
  </sheetData>
  <mergeCells count="1">
    <mergeCell ref="A1:L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B923C"/>
    <pageSetUpPr fitToPage="false"/>
  </sheetPr>
  <dimension ref="A1:O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42"/>
    <col collapsed="false" customWidth="true" hidden="false" outlineLevel="0" max="3" min="2" style="0" width="10"/>
    <col collapsed="false" customWidth="true" hidden="false" outlineLevel="0" max="4" min="4" style="0" width="12"/>
    <col collapsed="false" customWidth="true" hidden="false" outlineLevel="0" max="5" min="5" style="0" width="14"/>
    <col collapsed="false" customWidth="true" hidden="false" outlineLevel="0" max="6" min="6" style="0" width="16"/>
    <col collapsed="false" customWidth="true" hidden="false" outlineLevel="0" max="7" min="7" style="0" width="12"/>
    <col collapsed="false" customWidth="true" hidden="false" outlineLevel="0" max="8" min="8" style="0" width="10"/>
    <col collapsed="false" customWidth="true" hidden="false" outlineLevel="0" max="9" min="9" style="0" width="18"/>
    <col collapsed="false" customWidth="true" hidden="false" outlineLevel="0" max="10" min="10" style="0" width="12"/>
    <col collapsed="false" customWidth="true" hidden="false" outlineLevel="0" max="11" min="11" style="0" width="9"/>
    <col collapsed="false" customWidth="true" hidden="false" outlineLevel="0" max="13" min="12" style="0" width="12"/>
    <col collapsed="false" customWidth="true" hidden="false" outlineLevel="0" max="14" min="14" style="0" width="45"/>
    <col collapsed="false" customWidth="true" hidden="false" outlineLevel="0" max="15" min="15" style="0" width="30"/>
  </cols>
  <sheetData>
    <row r="1" customFormat="false" ht="27.75" hidden="false" customHeight="true" outlineLevel="0" collapsed="false">
      <c r="A1" s="32" t="s">
        <v>330</v>
      </c>
      <c r="B1" s="32"/>
      <c r="C1" s="32"/>
      <c r="D1" s="32"/>
      <c r="E1" s="32"/>
      <c r="F1" s="32"/>
      <c r="G1" s="32"/>
      <c r="H1" s="32"/>
      <c r="I1" s="32"/>
      <c r="J1" s="32"/>
      <c r="K1" s="32"/>
      <c r="L1" s="32"/>
      <c r="M1" s="32"/>
      <c r="N1" s="32"/>
      <c r="O1" s="32"/>
    </row>
    <row r="2" customFormat="false" ht="48" hidden="false" customHeight="true" outlineLevel="0" collapsed="false">
      <c r="A2" s="33" t="s">
        <v>331</v>
      </c>
      <c r="B2" s="33" t="s">
        <v>2</v>
      </c>
      <c r="C2" s="33" t="s">
        <v>3</v>
      </c>
      <c r="D2" s="33" t="s">
        <v>332</v>
      </c>
      <c r="E2" s="33" t="s">
        <v>333</v>
      </c>
      <c r="F2" s="33" t="s">
        <v>334</v>
      </c>
      <c r="G2" s="33" t="s">
        <v>335</v>
      </c>
      <c r="H2" s="33" t="s">
        <v>336</v>
      </c>
      <c r="I2" s="33" t="s">
        <v>337</v>
      </c>
      <c r="J2" s="33" t="s">
        <v>338</v>
      </c>
      <c r="K2" s="33" t="s">
        <v>339</v>
      </c>
      <c r="L2" s="33" t="s">
        <v>340</v>
      </c>
      <c r="M2" s="33" t="s">
        <v>341</v>
      </c>
      <c r="N2" s="33" t="s">
        <v>10</v>
      </c>
      <c r="O2" s="33" t="s">
        <v>11</v>
      </c>
    </row>
    <row r="3" customFormat="false" ht="22.35" hidden="false" customHeight="false" outlineLevel="0" collapsed="false">
      <c r="A3" s="34" t="s">
        <v>342</v>
      </c>
      <c r="B3" s="35" t="n">
        <v>-77.08</v>
      </c>
      <c r="C3" s="35" t="n">
        <v>37.31</v>
      </c>
      <c r="D3" s="36" t="s">
        <v>343</v>
      </c>
      <c r="E3" s="37" t="n">
        <v>1.5</v>
      </c>
      <c r="F3" s="37" t="n">
        <v>5.5</v>
      </c>
      <c r="G3" s="38" t="n">
        <f aca="false">F3-E3</f>
        <v>4</v>
      </c>
      <c r="H3" s="39" t="n">
        <f aca="false">(F3-E3)/E3</f>
        <v>2.66666666666667</v>
      </c>
      <c r="I3" s="40" t="s">
        <v>344</v>
      </c>
      <c r="J3" s="41" t="s">
        <v>345</v>
      </c>
      <c r="K3" s="42" t="n">
        <v>2100</v>
      </c>
      <c r="L3" s="35" t="n">
        <v>0.575</v>
      </c>
      <c r="M3" s="41" t="s">
        <v>346</v>
      </c>
      <c r="N3" s="34" t="s">
        <v>347</v>
      </c>
      <c r="O3" s="43" t="s">
        <v>348</v>
      </c>
    </row>
    <row r="4" customFormat="false" ht="22.35" hidden="false" customHeight="false" outlineLevel="0" collapsed="false">
      <c r="A4" s="44" t="s">
        <v>349</v>
      </c>
      <c r="B4" s="45" t="n">
        <v>-76.07</v>
      </c>
      <c r="C4" s="45" t="n">
        <v>39.52</v>
      </c>
      <c r="D4" s="46" t="s">
        <v>343</v>
      </c>
      <c r="E4" s="47" t="n">
        <v>0.3</v>
      </c>
      <c r="F4" s="47" t="n">
        <v>2.5</v>
      </c>
      <c r="G4" s="48" t="n">
        <f aca="false">F4-E4</f>
        <v>2.2</v>
      </c>
      <c r="H4" s="49" t="n">
        <f aca="false">(F4-E4)/E4</f>
        <v>7.33333333333333</v>
      </c>
      <c r="I4" s="50" t="s">
        <v>344</v>
      </c>
      <c r="J4" s="51" t="s">
        <v>350</v>
      </c>
      <c r="K4" s="52" t="n">
        <v>2050</v>
      </c>
      <c r="L4" s="45" t="n">
        <v>0.384</v>
      </c>
      <c r="M4" s="51" t="s">
        <v>351</v>
      </c>
      <c r="N4" s="44" t="s">
        <v>352</v>
      </c>
      <c r="O4" s="53" t="s">
        <v>353</v>
      </c>
    </row>
    <row r="5" customFormat="false" ht="22.35" hidden="false" customHeight="false" outlineLevel="0" collapsed="false">
      <c r="A5" s="34" t="s">
        <v>354</v>
      </c>
      <c r="B5" s="35" t="n">
        <v>-122.03</v>
      </c>
      <c r="C5" s="35" t="n">
        <v>38.07</v>
      </c>
      <c r="D5" s="36" t="s">
        <v>343</v>
      </c>
      <c r="E5" s="37" t="n">
        <v>2</v>
      </c>
      <c r="F5" s="37" t="n">
        <v>6</v>
      </c>
      <c r="G5" s="38" t="n">
        <f aca="false">F5-E5</f>
        <v>4</v>
      </c>
      <c r="H5" s="39" t="n">
        <f aca="false">(F5-E5)/E5</f>
        <v>2</v>
      </c>
      <c r="I5" s="40" t="s">
        <v>344</v>
      </c>
      <c r="J5" s="41" t="s">
        <v>345</v>
      </c>
      <c r="K5" s="42" t="n">
        <v>2100</v>
      </c>
      <c r="L5" s="35" t="n">
        <v>0.575</v>
      </c>
      <c r="M5" s="41" t="s">
        <v>346</v>
      </c>
      <c r="N5" s="34" t="s">
        <v>355</v>
      </c>
      <c r="O5" s="43" t="s">
        <v>356</v>
      </c>
    </row>
    <row r="6" customFormat="false" ht="22.35" hidden="false" customHeight="false" outlineLevel="0" collapsed="false">
      <c r="A6" s="44" t="s">
        <v>357</v>
      </c>
      <c r="B6" s="45" t="n">
        <v>-121.75</v>
      </c>
      <c r="C6" s="45" t="n">
        <v>38.05</v>
      </c>
      <c r="D6" s="46" t="s">
        <v>343</v>
      </c>
      <c r="E6" s="47" t="n">
        <v>0.1</v>
      </c>
      <c r="F6" s="47" t="n">
        <v>3</v>
      </c>
      <c r="G6" s="48" t="n">
        <f aca="false">F6-E6</f>
        <v>2.9</v>
      </c>
      <c r="H6" s="49" t="n">
        <f aca="false">(F6-E6)/E6</f>
        <v>29</v>
      </c>
      <c r="I6" s="50" t="s">
        <v>344</v>
      </c>
      <c r="J6" s="51" t="s">
        <v>345</v>
      </c>
      <c r="K6" s="52" t="n">
        <v>2100</v>
      </c>
      <c r="L6" s="45" t="n">
        <v>0.458</v>
      </c>
      <c r="M6" s="51" t="s">
        <v>346</v>
      </c>
      <c r="N6" s="44" t="s">
        <v>358</v>
      </c>
      <c r="O6" s="53" t="s">
        <v>359</v>
      </c>
    </row>
    <row r="7" customFormat="false" ht="22.35" hidden="false" customHeight="false" outlineLevel="0" collapsed="false">
      <c r="A7" s="34" t="s">
        <v>360</v>
      </c>
      <c r="B7" s="35" t="n">
        <v>-81.15</v>
      </c>
      <c r="C7" s="35" t="n">
        <v>32.12</v>
      </c>
      <c r="D7" s="36" t="s">
        <v>343</v>
      </c>
      <c r="E7" s="37" t="n">
        <v>0.2</v>
      </c>
      <c r="F7" s="37" t="n">
        <v>3.5</v>
      </c>
      <c r="G7" s="38" t="n">
        <f aca="false">F7-E7</f>
        <v>3.3</v>
      </c>
      <c r="H7" s="39" t="n">
        <f aca="false">(F7-E7)/E7</f>
        <v>16.5</v>
      </c>
      <c r="I7" s="40" t="s">
        <v>344</v>
      </c>
      <c r="J7" s="41" t="s">
        <v>345</v>
      </c>
      <c r="K7" s="42" t="n">
        <v>2100</v>
      </c>
      <c r="L7" s="35" t="n">
        <v>0.501</v>
      </c>
      <c r="M7" s="41" t="s">
        <v>346</v>
      </c>
      <c r="N7" s="34" t="s">
        <v>361</v>
      </c>
      <c r="O7" s="43" t="s">
        <v>362</v>
      </c>
    </row>
    <row r="8" customFormat="false" ht="15" hidden="false" customHeight="false" outlineLevel="0" collapsed="false">
      <c r="A8" s="44" t="s">
        <v>363</v>
      </c>
      <c r="B8" s="45" t="n">
        <v>-87.29</v>
      </c>
      <c r="C8" s="45" t="n">
        <v>30.58</v>
      </c>
      <c r="D8" s="46" t="s">
        <v>343</v>
      </c>
      <c r="E8" s="47" t="n">
        <v>2.5</v>
      </c>
      <c r="F8" s="47" t="n">
        <v>4</v>
      </c>
      <c r="G8" s="48" t="n">
        <f aca="false">F8-E8</f>
        <v>1.5</v>
      </c>
      <c r="H8" s="49" t="n">
        <f aca="false">(F8-E8)/E8</f>
        <v>0.6</v>
      </c>
      <c r="I8" s="50" t="s">
        <v>344</v>
      </c>
      <c r="J8" s="51" t="s">
        <v>345</v>
      </c>
      <c r="K8" s="52" t="n">
        <v>2100</v>
      </c>
      <c r="L8" s="45" t="n">
        <v>0.309</v>
      </c>
      <c r="M8" s="51" t="s">
        <v>346</v>
      </c>
      <c r="N8" s="44" t="s">
        <v>364</v>
      </c>
      <c r="O8" s="53" t="s">
        <v>365</v>
      </c>
    </row>
    <row r="9" customFormat="false" ht="32.8" hidden="false" customHeight="false" outlineLevel="0" collapsed="false">
      <c r="A9" s="34" t="s">
        <v>366</v>
      </c>
      <c r="B9" s="35" t="n">
        <v>-5.95</v>
      </c>
      <c r="C9" s="35" t="n">
        <v>37.32</v>
      </c>
      <c r="D9" s="36" t="s">
        <v>343</v>
      </c>
      <c r="E9" s="37" t="n">
        <v>4</v>
      </c>
      <c r="F9" s="37" t="n">
        <v>8</v>
      </c>
      <c r="G9" s="38" t="n">
        <f aca="false">F9-E9</f>
        <v>4</v>
      </c>
      <c r="H9" s="39" t="n">
        <f aca="false">(F9-E9)/E9</f>
        <v>1</v>
      </c>
      <c r="I9" s="54" t="s">
        <v>367</v>
      </c>
      <c r="J9" s="41" t="s">
        <v>345</v>
      </c>
      <c r="K9" s="42" t="n">
        <v>2100</v>
      </c>
      <c r="L9" s="35" t="n">
        <v>0.575</v>
      </c>
      <c r="M9" s="41" t="s">
        <v>346</v>
      </c>
      <c r="N9" s="34" t="s">
        <v>368</v>
      </c>
      <c r="O9" s="43" t="s">
        <v>369</v>
      </c>
    </row>
    <row r="10" customFormat="false" ht="22.35" hidden="false" customHeight="false" outlineLevel="0" collapsed="false">
      <c r="A10" s="44" t="s">
        <v>370</v>
      </c>
      <c r="B10" s="45" t="n">
        <v>-0.78</v>
      </c>
      <c r="C10" s="45" t="n">
        <v>45.12</v>
      </c>
      <c r="D10" s="46" t="s">
        <v>343</v>
      </c>
      <c r="E10" s="47" t="n">
        <v>1.5</v>
      </c>
      <c r="F10" s="47" t="n">
        <v>5.5</v>
      </c>
      <c r="G10" s="48" t="n">
        <f aca="false">F10-E10</f>
        <v>4</v>
      </c>
      <c r="H10" s="49" t="n">
        <f aca="false">(F10-E10)/E10</f>
        <v>2.66666666666667</v>
      </c>
      <c r="I10" s="50" t="s">
        <v>344</v>
      </c>
      <c r="J10" s="51" t="s">
        <v>345</v>
      </c>
      <c r="K10" s="52" t="n">
        <v>2100</v>
      </c>
      <c r="L10" s="45" t="n">
        <v>0.575</v>
      </c>
      <c r="M10" s="51" t="s">
        <v>346</v>
      </c>
      <c r="N10" s="44" t="s">
        <v>371</v>
      </c>
      <c r="O10" s="53" t="s">
        <v>372</v>
      </c>
    </row>
    <row r="11" customFormat="false" ht="22.35" hidden="false" customHeight="false" outlineLevel="0" collapsed="false">
      <c r="A11" s="34" t="s">
        <v>373</v>
      </c>
      <c r="B11" s="35" t="n">
        <v>-1.72</v>
      </c>
      <c r="C11" s="35" t="n">
        <v>47.2</v>
      </c>
      <c r="D11" s="36" t="s">
        <v>343</v>
      </c>
      <c r="E11" s="37" t="n">
        <v>2</v>
      </c>
      <c r="F11" s="37" t="n">
        <v>6</v>
      </c>
      <c r="G11" s="38" t="n">
        <f aca="false">F11-E11</f>
        <v>4</v>
      </c>
      <c r="H11" s="39" t="n">
        <f aca="false">(F11-E11)/E11</f>
        <v>2</v>
      </c>
      <c r="I11" s="40" t="s">
        <v>344</v>
      </c>
      <c r="J11" s="41" t="s">
        <v>345</v>
      </c>
      <c r="K11" s="42" t="n">
        <v>2100</v>
      </c>
      <c r="L11" s="35" t="n">
        <v>0.575</v>
      </c>
      <c r="M11" s="41" t="s">
        <v>346</v>
      </c>
      <c r="N11" s="34" t="s">
        <v>371</v>
      </c>
      <c r="O11" s="43" t="s">
        <v>372</v>
      </c>
    </row>
    <row r="12" customFormat="false" ht="22.35" hidden="false" customHeight="false" outlineLevel="0" collapsed="false">
      <c r="A12" s="44" t="s">
        <v>374</v>
      </c>
      <c r="B12" s="45" t="n">
        <v>-0.32</v>
      </c>
      <c r="C12" s="45" t="n">
        <v>51.44</v>
      </c>
      <c r="D12" s="46" t="s">
        <v>343</v>
      </c>
      <c r="E12" s="47" t="n">
        <v>0.5</v>
      </c>
      <c r="F12" s="47" t="n">
        <v>3.5</v>
      </c>
      <c r="G12" s="48" t="n">
        <f aca="false">F12-E12</f>
        <v>3</v>
      </c>
      <c r="H12" s="49" t="n">
        <f aca="false">(F12-E12)/E12</f>
        <v>6</v>
      </c>
      <c r="I12" s="50" t="s">
        <v>344</v>
      </c>
      <c r="J12" s="51" t="s">
        <v>345</v>
      </c>
      <c r="K12" s="52" t="n">
        <v>2100</v>
      </c>
      <c r="L12" s="45" t="n">
        <v>0.469</v>
      </c>
      <c r="M12" s="51" t="s">
        <v>346</v>
      </c>
      <c r="N12" s="44" t="s">
        <v>371</v>
      </c>
      <c r="O12" s="53" t="s">
        <v>372</v>
      </c>
    </row>
    <row r="13" customFormat="false" ht="32.8" hidden="false" customHeight="false" outlineLevel="0" collapsed="false">
      <c r="A13" s="34" t="s">
        <v>375</v>
      </c>
      <c r="B13" s="35" t="n">
        <v>4.56</v>
      </c>
      <c r="C13" s="35" t="n">
        <v>51.91</v>
      </c>
      <c r="D13" s="36" t="s">
        <v>343</v>
      </c>
      <c r="E13" s="37" t="n">
        <v>0.4</v>
      </c>
      <c r="F13" s="37" t="n">
        <v>3</v>
      </c>
      <c r="G13" s="38" t="n">
        <f aca="false">F13-E13</f>
        <v>2.6</v>
      </c>
      <c r="H13" s="39" t="n">
        <f aca="false">(F13-E13)/E13</f>
        <v>6.5</v>
      </c>
      <c r="I13" s="40" t="s">
        <v>344</v>
      </c>
      <c r="J13" s="41" t="s">
        <v>345</v>
      </c>
      <c r="K13" s="42" t="n">
        <v>2100</v>
      </c>
      <c r="L13" s="35" t="n">
        <v>0.426</v>
      </c>
      <c r="M13" s="41" t="s">
        <v>346</v>
      </c>
      <c r="N13" s="34" t="s">
        <v>376</v>
      </c>
      <c r="O13" s="43" t="s">
        <v>377</v>
      </c>
    </row>
    <row r="14" customFormat="false" ht="32.8" hidden="false" customHeight="false" outlineLevel="0" collapsed="false">
      <c r="A14" s="44" t="s">
        <v>378</v>
      </c>
      <c r="B14" s="45" t="n">
        <v>9.97</v>
      </c>
      <c r="C14" s="45" t="n">
        <v>53.55</v>
      </c>
      <c r="D14" s="46" t="s">
        <v>343</v>
      </c>
      <c r="E14" s="47" t="n">
        <v>1.5</v>
      </c>
      <c r="F14" s="47" t="n">
        <v>5</v>
      </c>
      <c r="G14" s="48" t="n">
        <f aca="false">F14-E14</f>
        <v>3.5</v>
      </c>
      <c r="H14" s="49" t="n">
        <f aca="false">(F14-E14)/E14</f>
        <v>2.33333333333333</v>
      </c>
      <c r="I14" s="50" t="s">
        <v>344</v>
      </c>
      <c r="J14" s="51" t="s">
        <v>345</v>
      </c>
      <c r="K14" s="52" t="n">
        <v>2100</v>
      </c>
      <c r="L14" s="45" t="n">
        <v>0.522</v>
      </c>
      <c r="M14" s="51" t="s">
        <v>346</v>
      </c>
      <c r="N14" s="44" t="s">
        <v>376</v>
      </c>
      <c r="O14" s="53" t="s">
        <v>372</v>
      </c>
    </row>
    <row r="15" customFormat="false" ht="15" hidden="false" customHeight="false" outlineLevel="0" collapsed="false">
      <c r="A15" s="34" t="s">
        <v>379</v>
      </c>
      <c r="B15" s="35" t="n">
        <v>-4.2</v>
      </c>
      <c r="C15" s="35" t="n">
        <v>50.43</v>
      </c>
      <c r="D15" s="36" t="s">
        <v>343</v>
      </c>
      <c r="E15" s="37" t="n">
        <v>3</v>
      </c>
      <c r="F15" s="37" t="n">
        <v>8</v>
      </c>
      <c r="G15" s="38" t="n">
        <f aca="false">F15-E15</f>
        <v>5</v>
      </c>
      <c r="H15" s="39" t="n">
        <f aca="false">(F15-E15)/E15</f>
        <v>1.66666666666667</v>
      </c>
      <c r="I15" s="54" t="s">
        <v>367</v>
      </c>
      <c r="J15" s="41" t="s">
        <v>345</v>
      </c>
      <c r="K15" s="42" t="n">
        <v>2100</v>
      </c>
      <c r="L15" s="35" t="n">
        <v>0.681</v>
      </c>
      <c r="M15" s="41" t="s">
        <v>346</v>
      </c>
      <c r="N15" s="34" t="s">
        <v>380</v>
      </c>
      <c r="O15" s="43" t="s">
        <v>372</v>
      </c>
    </row>
    <row r="16" customFormat="false" ht="22.35" hidden="false" customHeight="false" outlineLevel="0" collapsed="false">
      <c r="A16" s="44" t="s">
        <v>381</v>
      </c>
      <c r="B16" s="45" t="n">
        <v>12.53</v>
      </c>
      <c r="C16" s="45" t="n">
        <v>44.85</v>
      </c>
      <c r="D16" s="46" t="s">
        <v>343</v>
      </c>
      <c r="E16" s="47" t="n">
        <v>1.5</v>
      </c>
      <c r="F16" s="47" t="n">
        <v>3.9</v>
      </c>
      <c r="G16" s="48" t="n">
        <f aca="false">F16-E16</f>
        <v>2.4</v>
      </c>
      <c r="H16" s="49" t="n">
        <f aca="false">(F16-E16)/E16</f>
        <v>1.6</v>
      </c>
      <c r="I16" s="50" t="s">
        <v>344</v>
      </c>
      <c r="J16" s="51" t="s">
        <v>345</v>
      </c>
      <c r="K16" s="52" t="n">
        <v>2100</v>
      </c>
      <c r="L16" s="45" t="n">
        <v>0.405</v>
      </c>
      <c r="M16" s="51" t="s">
        <v>346</v>
      </c>
      <c r="N16" s="44" t="s">
        <v>382</v>
      </c>
      <c r="O16" s="53" t="s">
        <v>383</v>
      </c>
    </row>
    <row r="17" customFormat="false" ht="22.35" hidden="false" customHeight="false" outlineLevel="0" collapsed="false">
      <c r="A17" s="34" t="s">
        <v>384</v>
      </c>
      <c r="B17" s="35" t="n">
        <v>0.9</v>
      </c>
      <c r="C17" s="35" t="n">
        <v>40.72</v>
      </c>
      <c r="D17" s="36" t="s">
        <v>343</v>
      </c>
      <c r="E17" s="37" t="n">
        <v>1</v>
      </c>
      <c r="F17" s="37" t="n">
        <v>5.5</v>
      </c>
      <c r="G17" s="38" t="n">
        <f aca="false">F17-E17</f>
        <v>4.5</v>
      </c>
      <c r="H17" s="39" t="n">
        <f aca="false">(F17-E17)/E17</f>
        <v>4.5</v>
      </c>
      <c r="I17" s="40" t="s">
        <v>344</v>
      </c>
      <c r="J17" s="41" t="s">
        <v>345</v>
      </c>
      <c r="K17" s="42" t="n">
        <v>2100</v>
      </c>
      <c r="L17" s="35" t="n">
        <v>0.628</v>
      </c>
      <c r="M17" s="41" t="s">
        <v>351</v>
      </c>
      <c r="N17" s="34" t="s">
        <v>385</v>
      </c>
      <c r="O17" s="43"/>
    </row>
    <row r="18" customFormat="false" ht="22.35" hidden="false" customHeight="false" outlineLevel="0" collapsed="false">
      <c r="A18" s="44" t="s">
        <v>386</v>
      </c>
      <c r="B18" s="45" t="n">
        <v>30.37</v>
      </c>
      <c r="C18" s="45" t="n">
        <v>31.41</v>
      </c>
      <c r="D18" s="46" t="s">
        <v>343</v>
      </c>
      <c r="E18" s="47" t="n">
        <v>0.8</v>
      </c>
      <c r="F18" s="47" t="n">
        <v>4.5</v>
      </c>
      <c r="G18" s="48" t="n">
        <f aca="false">F18-E18</f>
        <v>3.7</v>
      </c>
      <c r="H18" s="49" t="n">
        <f aca="false">(F18-E18)/E18</f>
        <v>4.625</v>
      </c>
      <c r="I18" s="50" t="s">
        <v>344</v>
      </c>
      <c r="J18" s="51" t="s">
        <v>345</v>
      </c>
      <c r="K18" s="52" t="n">
        <v>2100</v>
      </c>
      <c r="L18" s="45" t="n">
        <v>0.543</v>
      </c>
      <c r="M18" s="51" t="s">
        <v>351</v>
      </c>
      <c r="N18" s="44" t="s">
        <v>387</v>
      </c>
      <c r="O18" s="53"/>
    </row>
    <row r="19" customFormat="false" ht="22.35" hidden="false" customHeight="false" outlineLevel="0" collapsed="false">
      <c r="A19" s="34" t="s">
        <v>388</v>
      </c>
      <c r="B19" s="35" t="n">
        <v>-16.5</v>
      </c>
      <c r="C19" s="35" t="n">
        <v>16.02</v>
      </c>
      <c r="D19" s="36" t="s">
        <v>343</v>
      </c>
      <c r="E19" s="37" t="n">
        <v>5</v>
      </c>
      <c r="F19" s="37" t="n">
        <v>12</v>
      </c>
      <c r="G19" s="38" t="n">
        <f aca="false">F19-E19</f>
        <v>7</v>
      </c>
      <c r="H19" s="39" t="n">
        <f aca="false">(F19-E19)/E19</f>
        <v>1.4</v>
      </c>
      <c r="I19" s="54" t="s">
        <v>367</v>
      </c>
      <c r="J19" s="41" t="s">
        <v>345</v>
      </c>
      <c r="K19" s="42" t="n">
        <v>2050</v>
      </c>
      <c r="L19" s="35" t="n">
        <v>0.894</v>
      </c>
      <c r="M19" s="41" t="s">
        <v>351</v>
      </c>
      <c r="N19" s="34" t="s">
        <v>389</v>
      </c>
      <c r="O19" s="43"/>
    </row>
    <row r="20" customFormat="false" ht="22.35" hidden="false" customHeight="false" outlineLevel="0" collapsed="false">
      <c r="A20" s="44" t="s">
        <v>390</v>
      </c>
      <c r="B20" s="45" t="n">
        <v>-15.6</v>
      </c>
      <c r="C20" s="45" t="n">
        <v>13.45</v>
      </c>
      <c r="D20" s="46" t="s">
        <v>343</v>
      </c>
      <c r="E20" s="47" t="n">
        <v>3</v>
      </c>
      <c r="F20" s="47" t="n">
        <v>10</v>
      </c>
      <c r="G20" s="48" t="n">
        <f aca="false">F20-E20</f>
        <v>7</v>
      </c>
      <c r="H20" s="49" t="n">
        <f aca="false">(F20-E20)/E20</f>
        <v>2.33333333333333</v>
      </c>
      <c r="I20" s="55" t="s">
        <v>367</v>
      </c>
      <c r="J20" s="51" t="s">
        <v>345</v>
      </c>
      <c r="K20" s="52" t="n">
        <v>2050</v>
      </c>
      <c r="L20" s="45" t="n">
        <v>0.894</v>
      </c>
      <c r="M20" s="51" t="s">
        <v>351</v>
      </c>
      <c r="N20" s="44" t="s">
        <v>391</v>
      </c>
      <c r="O20" s="53"/>
    </row>
    <row r="21" customFormat="false" ht="22.35" hidden="false" customHeight="false" outlineLevel="0" collapsed="false">
      <c r="A21" s="34" t="s">
        <v>392</v>
      </c>
      <c r="B21" s="35" t="n">
        <v>5.35</v>
      </c>
      <c r="C21" s="35" t="n">
        <v>5.35</v>
      </c>
      <c r="D21" s="36" t="s">
        <v>343</v>
      </c>
      <c r="E21" s="37" t="n">
        <v>2.5</v>
      </c>
      <c r="F21" s="37" t="n">
        <v>7</v>
      </c>
      <c r="G21" s="38" t="n">
        <f aca="false">F21-E21</f>
        <v>4.5</v>
      </c>
      <c r="H21" s="39" t="n">
        <f aca="false">(F21-E21)/E21</f>
        <v>1.8</v>
      </c>
      <c r="I21" s="54" t="s">
        <v>367</v>
      </c>
      <c r="J21" s="41" t="s">
        <v>345</v>
      </c>
      <c r="K21" s="42" t="n">
        <v>2100</v>
      </c>
      <c r="L21" s="35" t="n">
        <v>0.628</v>
      </c>
      <c r="M21" s="41" t="s">
        <v>351</v>
      </c>
      <c r="N21" s="34" t="s">
        <v>393</v>
      </c>
      <c r="O21" s="43"/>
    </row>
    <row r="22" customFormat="false" ht="22.35" hidden="false" customHeight="false" outlineLevel="0" collapsed="false">
      <c r="A22" s="44" t="s">
        <v>394</v>
      </c>
      <c r="B22" s="45" t="n">
        <v>38.97</v>
      </c>
      <c r="C22" s="45" t="n">
        <v>-5.43</v>
      </c>
      <c r="D22" s="46" t="s">
        <v>343</v>
      </c>
      <c r="E22" s="47" t="n">
        <v>2</v>
      </c>
      <c r="F22" s="47" t="n">
        <v>6</v>
      </c>
      <c r="G22" s="48" t="n">
        <f aca="false">F22-E22</f>
        <v>4</v>
      </c>
      <c r="H22" s="49" t="n">
        <f aca="false">(F22-E22)/E22</f>
        <v>2</v>
      </c>
      <c r="I22" s="50" t="s">
        <v>344</v>
      </c>
      <c r="J22" s="51" t="s">
        <v>345</v>
      </c>
      <c r="K22" s="52" t="n">
        <v>2100</v>
      </c>
      <c r="L22" s="45" t="n">
        <v>0.575</v>
      </c>
      <c r="M22" s="51" t="s">
        <v>346</v>
      </c>
      <c r="N22" s="44" t="s">
        <v>395</v>
      </c>
      <c r="O22" s="53" t="s">
        <v>377</v>
      </c>
    </row>
    <row r="23" customFormat="false" ht="22.35" hidden="false" customHeight="false" outlineLevel="0" collapsed="false">
      <c r="A23" s="34" t="s">
        <v>396</v>
      </c>
      <c r="B23" s="35" t="n">
        <v>106.35</v>
      </c>
      <c r="C23" s="35" t="n">
        <v>10.05</v>
      </c>
      <c r="D23" s="36" t="s">
        <v>343</v>
      </c>
      <c r="E23" s="37" t="n">
        <v>2</v>
      </c>
      <c r="F23" s="37" t="n">
        <v>8</v>
      </c>
      <c r="G23" s="38" t="n">
        <f aca="false">F23-E23</f>
        <v>6</v>
      </c>
      <c r="H23" s="39" t="n">
        <f aca="false">(F23-E23)/E23</f>
        <v>3</v>
      </c>
      <c r="I23" s="54" t="s">
        <v>367</v>
      </c>
      <c r="J23" s="41" t="s">
        <v>345</v>
      </c>
      <c r="K23" s="42" t="n">
        <v>2050</v>
      </c>
      <c r="L23" s="35" t="n">
        <v>0.787</v>
      </c>
      <c r="M23" s="41" t="s">
        <v>351</v>
      </c>
      <c r="N23" s="34" t="s">
        <v>397</v>
      </c>
      <c r="O23" s="43" t="s">
        <v>398</v>
      </c>
    </row>
    <row r="24" customFormat="false" ht="22.35" hidden="false" customHeight="false" outlineLevel="0" collapsed="false">
      <c r="A24" s="44" t="s">
        <v>399</v>
      </c>
      <c r="B24" s="45" t="n">
        <v>106.37</v>
      </c>
      <c r="C24" s="45" t="n">
        <v>10.24</v>
      </c>
      <c r="D24" s="46" t="s">
        <v>343</v>
      </c>
      <c r="E24" s="47" t="n">
        <v>0.5</v>
      </c>
      <c r="F24" s="47" t="n">
        <v>4.5</v>
      </c>
      <c r="G24" s="48" t="n">
        <f aca="false">F24-E24</f>
        <v>4</v>
      </c>
      <c r="H24" s="49" t="n">
        <f aca="false">(F24-E24)/E24</f>
        <v>8</v>
      </c>
      <c r="I24" s="50" t="s">
        <v>344</v>
      </c>
      <c r="J24" s="51" t="s">
        <v>345</v>
      </c>
      <c r="K24" s="52" t="n">
        <v>2050</v>
      </c>
      <c r="L24" s="45" t="n">
        <v>0.575</v>
      </c>
      <c r="M24" s="51" t="s">
        <v>351</v>
      </c>
      <c r="N24" s="44" t="s">
        <v>397</v>
      </c>
      <c r="O24" s="53" t="s">
        <v>398</v>
      </c>
    </row>
    <row r="25" customFormat="false" ht="22.35" hidden="false" customHeight="false" outlineLevel="0" collapsed="false">
      <c r="A25" s="34" t="s">
        <v>400</v>
      </c>
      <c r="B25" s="35" t="n">
        <v>89.35</v>
      </c>
      <c r="C25" s="35" t="n">
        <v>22</v>
      </c>
      <c r="D25" s="36" t="s">
        <v>343</v>
      </c>
      <c r="E25" s="37" t="n">
        <v>4</v>
      </c>
      <c r="F25" s="37" t="n">
        <v>9</v>
      </c>
      <c r="G25" s="38" t="n">
        <f aca="false">F25-E25</f>
        <v>5</v>
      </c>
      <c r="H25" s="39" t="n">
        <f aca="false">(F25-E25)/E25</f>
        <v>1.25</v>
      </c>
      <c r="I25" s="54" t="s">
        <v>367</v>
      </c>
      <c r="J25" s="41" t="s">
        <v>345</v>
      </c>
      <c r="K25" s="42" t="n">
        <v>2100</v>
      </c>
      <c r="L25" s="35" t="n">
        <v>0.681</v>
      </c>
      <c r="M25" s="41" t="s">
        <v>351</v>
      </c>
      <c r="N25" s="34" t="s">
        <v>401</v>
      </c>
      <c r="O25" s="43"/>
    </row>
    <row r="26" customFormat="false" ht="22.35" hidden="false" customHeight="false" outlineLevel="0" collapsed="false">
      <c r="A26" s="44" t="s">
        <v>402</v>
      </c>
      <c r="B26" s="45" t="n">
        <v>89.55</v>
      </c>
      <c r="C26" s="45" t="n">
        <v>22.65</v>
      </c>
      <c r="D26" s="46" t="s">
        <v>343</v>
      </c>
      <c r="E26" s="47" t="n">
        <v>1.5</v>
      </c>
      <c r="F26" s="47" t="n">
        <v>5.5</v>
      </c>
      <c r="G26" s="48" t="n">
        <f aca="false">F26-E26</f>
        <v>4</v>
      </c>
      <c r="H26" s="49" t="n">
        <f aca="false">(F26-E26)/E26</f>
        <v>2.66666666666667</v>
      </c>
      <c r="I26" s="50" t="s">
        <v>344</v>
      </c>
      <c r="J26" s="51" t="s">
        <v>345</v>
      </c>
      <c r="K26" s="52" t="n">
        <v>2050</v>
      </c>
      <c r="L26" s="45" t="n">
        <v>0.575</v>
      </c>
      <c r="M26" s="51" t="s">
        <v>351</v>
      </c>
      <c r="N26" s="44" t="s">
        <v>403</v>
      </c>
      <c r="O26" s="53"/>
    </row>
    <row r="27" customFormat="false" ht="22.35" hidden="false" customHeight="false" outlineLevel="0" collapsed="false">
      <c r="A27" s="34" t="s">
        <v>404</v>
      </c>
      <c r="B27" s="35" t="n">
        <v>95.15</v>
      </c>
      <c r="C27" s="35" t="n">
        <v>15.9</v>
      </c>
      <c r="D27" s="36" t="s">
        <v>343</v>
      </c>
      <c r="E27" s="37" t="n">
        <v>2.5</v>
      </c>
      <c r="F27" s="37" t="n">
        <v>7</v>
      </c>
      <c r="G27" s="38" t="n">
        <f aca="false">F27-E27</f>
        <v>4.5</v>
      </c>
      <c r="H27" s="39" t="n">
        <f aca="false">(F27-E27)/E27</f>
        <v>1.8</v>
      </c>
      <c r="I27" s="54" t="s">
        <v>367</v>
      </c>
      <c r="J27" s="41" t="s">
        <v>345</v>
      </c>
      <c r="K27" s="42" t="n">
        <v>2100</v>
      </c>
      <c r="L27" s="35" t="n">
        <v>0.628</v>
      </c>
      <c r="M27" s="41" t="s">
        <v>351</v>
      </c>
      <c r="N27" s="34" t="s">
        <v>405</v>
      </c>
      <c r="O27" s="43"/>
    </row>
    <row r="28" customFormat="false" ht="22.35" hidden="false" customHeight="false" outlineLevel="0" collapsed="false">
      <c r="A28" s="44" t="s">
        <v>406</v>
      </c>
      <c r="B28" s="45" t="n">
        <v>121.55</v>
      </c>
      <c r="C28" s="45" t="n">
        <v>31.75</v>
      </c>
      <c r="D28" s="46" t="s">
        <v>343</v>
      </c>
      <c r="E28" s="47" t="n">
        <v>1</v>
      </c>
      <c r="F28" s="47" t="n">
        <v>4.5</v>
      </c>
      <c r="G28" s="48" t="n">
        <f aca="false">F28-E28</f>
        <v>3.5</v>
      </c>
      <c r="H28" s="49" t="n">
        <f aca="false">(F28-E28)/E28</f>
        <v>3.5</v>
      </c>
      <c r="I28" s="50" t="s">
        <v>344</v>
      </c>
      <c r="J28" s="51" t="s">
        <v>345</v>
      </c>
      <c r="K28" s="52" t="n">
        <v>2100</v>
      </c>
      <c r="L28" s="45" t="n">
        <v>0.522</v>
      </c>
      <c r="M28" s="51" t="s">
        <v>346</v>
      </c>
      <c r="N28" s="44" t="s">
        <v>407</v>
      </c>
      <c r="O28" s="53" t="s">
        <v>369</v>
      </c>
    </row>
    <row r="29" customFormat="false" ht="22.35" hidden="false" customHeight="false" outlineLevel="0" collapsed="false">
      <c r="A29" s="34" t="s">
        <v>408</v>
      </c>
      <c r="B29" s="35" t="n">
        <v>113.3</v>
      </c>
      <c r="C29" s="35" t="n">
        <v>22.2</v>
      </c>
      <c r="D29" s="36" t="s">
        <v>343</v>
      </c>
      <c r="E29" s="37" t="n">
        <v>3</v>
      </c>
      <c r="F29" s="37" t="n">
        <v>9</v>
      </c>
      <c r="G29" s="38" t="n">
        <f aca="false">F29-E29</f>
        <v>6</v>
      </c>
      <c r="H29" s="39" t="n">
        <f aca="false">(F29-E29)/E29</f>
        <v>2</v>
      </c>
      <c r="I29" s="54" t="s">
        <v>367</v>
      </c>
      <c r="J29" s="41" t="s">
        <v>345</v>
      </c>
      <c r="K29" s="42" t="n">
        <v>2100</v>
      </c>
      <c r="L29" s="35" t="n">
        <v>0.787</v>
      </c>
      <c r="M29" s="41" t="s">
        <v>351</v>
      </c>
      <c r="N29" s="34" t="s">
        <v>409</v>
      </c>
      <c r="O29" s="43"/>
    </row>
    <row r="30" customFormat="false" ht="32.8" hidden="false" customHeight="false" outlineLevel="0" collapsed="false">
      <c r="A30" s="44" t="s">
        <v>410</v>
      </c>
      <c r="B30" s="45" t="n">
        <v>100.58</v>
      </c>
      <c r="C30" s="45" t="n">
        <v>13.55</v>
      </c>
      <c r="D30" s="46" t="s">
        <v>343</v>
      </c>
      <c r="E30" s="47" t="n">
        <v>2</v>
      </c>
      <c r="F30" s="47" t="n">
        <v>6.5</v>
      </c>
      <c r="G30" s="48" t="n">
        <f aca="false">F30-E30</f>
        <v>4.5</v>
      </c>
      <c r="H30" s="49" t="n">
        <f aca="false">(F30-E30)/E30</f>
        <v>2.25</v>
      </c>
      <c r="I30" s="55" t="s">
        <v>367</v>
      </c>
      <c r="J30" s="51" t="s">
        <v>345</v>
      </c>
      <c r="K30" s="52" t="n">
        <v>2100</v>
      </c>
      <c r="L30" s="45" t="n">
        <v>0.628</v>
      </c>
      <c r="M30" s="51" t="s">
        <v>346</v>
      </c>
      <c r="N30" s="44" t="s">
        <v>411</v>
      </c>
      <c r="O30" s="53" t="s">
        <v>377</v>
      </c>
    </row>
    <row r="31" customFormat="false" ht="22.35" hidden="false" customHeight="false" outlineLevel="0" collapsed="false">
      <c r="A31" s="34" t="s">
        <v>412</v>
      </c>
      <c r="B31" s="35" t="n">
        <v>153.22</v>
      </c>
      <c r="C31" s="35" t="n">
        <v>-27.68</v>
      </c>
      <c r="D31" s="36" t="s">
        <v>343</v>
      </c>
      <c r="E31" s="37" t="n">
        <v>4</v>
      </c>
      <c r="F31" s="37" t="n">
        <v>10</v>
      </c>
      <c r="G31" s="38" t="n">
        <f aca="false">F31-E31</f>
        <v>6</v>
      </c>
      <c r="H31" s="39" t="n">
        <f aca="false">(F31-E31)/E31</f>
        <v>1.5</v>
      </c>
      <c r="I31" s="54" t="s">
        <v>367</v>
      </c>
      <c r="J31" s="41" t="s">
        <v>345</v>
      </c>
      <c r="K31" s="42" t="n">
        <v>2080</v>
      </c>
      <c r="L31" s="35" t="n">
        <v>0.787</v>
      </c>
      <c r="M31" s="41" t="s">
        <v>351</v>
      </c>
      <c r="N31" s="34" t="s">
        <v>413</v>
      </c>
      <c r="O31" s="43"/>
    </row>
    <row r="32" customFormat="false" ht="22.35" hidden="false" customHeight="false" outlineLevel="0" collapsed="false">
      <c r="A32" s="56" t="s">
        <v>414</v>
      </c>
      <c r="B32" s="57" t="n">
        <v>151.25</v>
      </c>
      <c r="C32" s="57" t="n">
        <v>-33.5</v>
      </c>
      <c r="D32" s="58" t="s">
        <v>415</v>
      </c>
      <c r="E32" s="59" t="n">
        <v>15</v>
      </c>
      <c r="F32" s="59" t="n">
        <v>10</v>
      </c>
      <c r="G32" s="60" t="n">
        <f aca="false">F32-E32</f>
        <v>-5</v>
      </c>
      <c r="H32" s="61" t="n">
        <f aca="false">(F32-E32)/E32</f>
        <v>-0.333333333333333</v>
      </c>
      <c r="I32" s="62" t="s">
        <v>367</v>
      </c>
      <c r="J32" s="63" t="s">
        <v>350</v>
      </c>
      <c r="K32" s="64" t="n">
        <v>2032</v>
      </c>
      <c r="L32" s="57" t="n">
        <v>0.681</v>
      </c>
      <c r="M32" s="63" t="s">
        <v>351</v>
      </c>
      <c r="N32" s="56" t="s">
        <v>416</v>
      </c>
      <c r="O32" s="65" t="s">
        <v>417</v>
      </c>
    </row>
    <row r="33" customFormat="false" ht="22.35" hidden="false" customHeight="false" outlineLevel="0" collapsed="false">
      <c r="A33" s="66" t="s">
        <v>418</v>
      </c>
      <c r="B33" s="67" t="n">
        <v>25</v>
      </c>
      <c r="C33" s="67" t="n">
        <v>59.5</v>
      </c>
      <c r="D33" s="68" t="s">
        <v>415</v>
      </c>
      <c r="E33" s="69" t="n">
        <v>5</v>
      </c>
      <c r="F33" s="69" t="n">
        <v>3</v>
      </c>
      <c r="G33" s="70" t="n">
        <f aca="false">F33-E33</f>
        <v>-2</v>
      </c>
      <c r="H33" s="71" t="n">
        <f aca="false">(F33-E33)/E33</f>
        <v>-0.4</v>
      </c>
      <c r="I33" s="72" t="s">
        <v>344</v>
      </c>
      <c r="J33" s="73" t="s">
        <v>345</v>
      </c>
      <c r="K33" s="74" t="n">
        <v>2100</v>
      </c>
      <c r="L33" s="67" t="n">
        <v>0.362</v>
      </c>
      <c r="M33" s="73" t="s">
        <v>351</v>
      </c>
      <c r="N33" s="66" t="s">
        <v>419</v>
      </c>
      <c r="O33" s="75"/>
    </row>
    <row r="34" customFormat="false" ht="22.35" hidden="false" customHeight="false" outlineLevel="0" collapsed="false">
      <c r="A34" s="56" t="s">
        <v>420</v>
      </c>
      <c r="B34" s="57" t="n">
        <v>11.4</v>
      </c>
      <c r="C34" s="57" t="n">
        <v>58.25</v>
      </c>
      <c r="D34" s="58" t="s">
        <v>415</v>
      </c>
      <c r="E34" s="59" t="n">
        <v>20</v>
      </c>
      <c r="F34" s="59" t="n">
        <v>18.5</v>
      </c>
      <c r="G34" s="60" t="n">
        <f aca="false">F34-E34</f>
        <v>-1.5</v>
      </c>
      <c r="H34" s="61" t="n">
        <f aca="false">(F34-E34)/E34</f>
        <v>-0.075</v>
      </c>
      <c r="I34" s="62" t="s">
        <v>367</v>
      </c>
      <c r="J34" s="63" t="s">
        <v>345</v>
      </c>
      <c r="K34" s="64" t="n">
        <v>2100</v>
      </c>
      <c r="L34" s="57" t="n">
        <v>0.309</v>
      </c>
      <c r="M34" s="63" t="s">
        <v>351</v>
      </c>
      <c r="N34" s="56" t="s">
        <v>421</v>
      </c>
      <c r="O34" s="65"/>
    </row>
    <row r="35" customFormat="false" ht="22.35" hidden="false" customHeight="false" outlineLevel="0" collapsed="false">
      <c r="A35" s="66" t="s">
        <v>422</v>
      </c>
      <c r="B35" s="67" t="n">
        <v>-58.35</v>
      </c>
      <c r="C35" s="67" t="n">
        <v>-34.6</v>
      </c>
      <c r="D35" s="68" t="s">
        <v>415</v>
      </c>
      <c r="E35" s="69" t="n">
        <v>1</v>
      </c>
      <c r="F35" s="69" t="n">
        <v>0.5</v>
      </c>
      <c r="G35" s="70" t="n">
        <f aca="false">F35-E35</f>
        <v>-0.5</v>
      </c>
      <c r="H35" s="71" t="n">
        <f aca="false">(F35-E35)/E35</f>
        <v>-0.5</v>
      </c>
      <c r="I35" s="72" t="s">
        <v>344</v>
      </c>
      <c r="J35" s="73" t="s">
        <v>345</v>
      </c>
      <c r="K35" s="74" t="n">
        <v>2050</v>
      </c>
      <c r="L35" s="67" t="n">
        <v>0.203</v>
      </c>
      <c r="M35" s="73" t="s">
        <v>351</v>
      </c>
      <c r="N35" s="66" t="s">
        <v>423</v>
      </c>
      <c r="O35" s="75"/>
    </row>
    <row r="36" customFormat="false" ht="22.35" hidden="false" customHeight="false" outlineLevel="0" collapsed="false">
      <c r="A36" s="56" t="s">
        <v>424</v>
      </c>
      <c r="B36" s="57" t="n">
        <v>-50</v>
      </c>
      <c r="C36" s="57" t="n">
        <v>-1</v>
      </c>
      <c r="D36" s="58" t="s">
        <v>415</v>
      </c>
      <c r="E36" s="59" t="n">
        <v>0.1</v>
      </c>
      <c r="F36" s="59" t="n">
        <v>0.1</v>
      </c>
      <c r="G36" s="60" t="n">
        <f aca="false">F36-E36</f>
        <v>0</v>
      </c>
      <c r="H36" s="61" t="n">
        <f aca="false">(F36-E36)/E36</f>
        <v>0</v>
      </c>
      <c r="I36" s="76" t="s">
        <v>344</v>
      </c>
      <c r="J36" s="63" t="s">
        <v>345</v>
      </c>
      <c r="K36" s="64" t="n">
        <v>2100</v>
      </c>
      <c r="L36" s="57" t="n">
        <v>0.15</v>
      </c>
      <c r="M36" s="63" t="s">
        <v>346</v>
      </c>
      <c r="N36" s="56" t="s">
        <v>425</v>
      </c>
      <c r="O36" s="65" t="s">
        <v>426</v>
      </c>
    </row>
    <row r="37" customFormat="false" ht="22.35" hidden="false" customHeight="false" outlineLevel="0" collapsed="false">
      <c r="A37" s="34" t="s">
        <v>427</v>
      </c>
      <c r="B37" s="35" t="n">
        <v>-43.95</v>
      </c>
      <c r="C37" s="35" t="n">
        <v>-22.95</v>
      </c>
      <c r="D37" s="36" t="s">
        <v>343</v>
      </c>
      <c r="E37" s="37" t="n">
        <v>0.2</v>
      </c>
      <c r="F37" s="37" t="n">
        <v>3.5</v>
      </c>
      <c r="G37" s="38" t="n">
        <f aca="false">F37-E37</f>
        <v>3.3</v>
      </c>
      <c r="H37" s="39" t="n">
        <f aca="false">(F37-E37)/E37</f>
        <v>16.5</v>
      </c>
      <c r="I37" s="40" t="s">
        <v>344</v>
      </c>
      <c r="J37" s="41" t="s">
        <v>350</v>
      </c>
      <c r="K37" s="42" t="n">
        <v>2100</v>
      </c>
      <c r="L37" s="35" t="n">
        <v>0.501</v>
      </c>
      <c r="M37" s="41" t="s">
        <v>351</v>
      </c>
      <c r="N37" s="34" t="s">
        <v>428</v>
      </c>
      <c r="O37" s="43" t="s">
        <v>429</v>
      </c>
    </row>
    <row r="38" customFormat="false" ht="22.35" hidden="false" customHeight="false" outlineLevel="0" collapsed="false">
      <c r="A38" s="44" t="s">
        <v>430</v>
      </c>
      <c r="B38" s="45" t="n">
        <v>-61.5</v>
      </c>
      <c r="C38" s="45" t="n">
        <v>9</v>
      </c>
      <c r="D38" s="46" t="s">
        <v>343</v>
      </c>
      <c r="E38" s="47" t="n">
        <v>1</v>
      </c>
      <c r="F38" s="47" t="n">
        <v>4.5</v>
      </c>
      <c r="G38" s="48" t="n">
        <f aca="false">F38-E38</f>
        <v>3.5</v>
      </c>
      <c r="H38" s="49" t="n">
        <f aca="false">(F38-E38)/E38</f>
        <v>3.5</v>
      </c>
      <c r="I38" s="50" t="s">
        <v>344</v>
      </c>
      <c r="J38" s="51" t="s">
        <v>345</v>
      </c>
      <c r="K38" s="52" t="n">
        <v>2100</v>
      </c>
      <c r="L38" s="45" t="n">
        <v>0.522</v>
      </c>
      <c r="M38" s="51" t="s">
        <v>351</v>
      </c>
      <c r="N38" s="44" t="s">
        <v>431</v>
      </c>
      <c r="O38" s="53"/>
    </row>
    <row r="39" customFormat="false" ht="15" hidden="false" customHeight="false" outlineLevel="0" collapsed="false">
      <c r="A39" s="34" t="s">
        <v>432</v>
      </c>
      <c r="B39" s="35" t="n">
        <v>36.5</v>
      </c>
      <c r="C39" s="35" t="n">
        <v>-18.6</v>
      </c>
      <c r="D39" s="36" t="s">
        <v>343</v>
      </c>
      <c r="E39" s="37" t="n">
        <v>2</v>
      </c>
      <c r="F39" s="37" t="n">
        <v>7</v>
      </c>
      <c r="G39" s="38" t="n">
        <f aca="false">F39-E39</f>
        <v>5</v>
      </c>
      <c r="H39" s="39" t="n">
        <f aca="false">(F39-E39)/E39</f>
        <v>2.5</v>
      </c>
      <c r="I39" s="54" t="s">
        <v>367</v>
      </c>
      <c r="J39" s="41" t="s">
        <v>345</v>
      </c>
      <c r="K39" s="42" t="n">
        <v>2100</v>
      </c>
      <c r="L39" s="35" t="n">
        <v>0.681</v>
      </c>
      <c r="M39" s="41" t="s">
        <v>351</v>
      </c>
      <c r="N39" s="34" t="s">
        <v>433</v>
      </c>
      <c r="O39" s="43"/>
    </row>
    <row r="40" customFormat="false" ht="22.35" hidden="false" customHeight="false" outlineLevel="0" collapsed="false">
      <c r="A40" s="44" t="s">
        <v>434</v>
      </c>
      <c r="B40" s="45" t="n">
        <v>35</v>
      </c>
      <c r="C40" s="45" t="n">
        <v>-24.95</v>
      </c>
      <c r="D40" s="46" t="s">
        <v>343</v>
      </c>
      <c r="E40" s="47" t="n">
        <v>1.5</v>
      </c>
      <c r="F40" s="47" t="n">
        <v>6</v>
      </c>
      <c r="G40" s="48" t="n">
        <f aca="false">F40-E40</f>
        <v>4.5</v>
      </c>
      <c r="H40" s="49" t="n">
        <f aca="false">(F40-E40)/E40</f>
        <v>3</v>
      </c>
      <c r="I40" s="55" t="s">
        <v>367</v>
      </c>
      <c r="J40" s="51" t="s">
        <v>345</v>
      </c>
      <c r="K40" s="52" t="n">
        <v>2100</v>
      </c>
      <c r="L40" s="45" t="n">
        <v>0.628</v>
      </c>
      <c r="M40" s="51" t="s">
        <v>346</v>
      </c>
      <c r="N40" s="44" t="s">
        <v>435</v>
      </c>
      <c r="O40" s="53" t="s">
        <v>377</v>
      </c>
    </row>
    <row r="41" customFormat="false" ht="22.35" hidden="false" customHeight="false" outlineLevel="0" collapsed="false">
      <c r="A41" s="34" t="s">
        <v>436</v>
      </c>
      <c r="B41" s="35" t="n">
        <v>16.47</v>
      </c>
      <c r="C41" s="35" t="n">
        <v>-28.6</v>
      </c>
      <c r="D41" s="36" t="s">
        <v>343</v>
      </c>
      <c r="E41" s="37" t="n">
        <v>1</v>
      </c>
      <c r="F41" s="37" t="n">
        <v>5</v>
      </c>
      <c r="G41" s="38" t="n">
        <f aca="false">F41-E41</f>
        <v>4</v>
      </c>
      <c r="H41" s="39" t="n">
        <f aca="false">(F41-E41)/E41</f>
        <v>4</v>
      </c>
      <c r="I41" s="40" t="s">
        <v>344</v>
      </c>
      <c r="J41" s="41" t="s">
        <v>345</v>
      </c>
      <c r="K41" s="42" t="n">
        <v>2100</v>
      </c>
      <c r="L41" s="35" t="n">
        <v>0.575</v>
      </c>
      <c r="M41" s="41" t="s">
        <v>346</v>
      </c>
      <c r="N41" s="34" t="s">
        <v>437</v>
      </c>
      <c r="O41" s="43" t="s">
        <v>377</v>
      </c>
    </row>
    <row r="42" customFormat="false" ht="22.35" hidden="false" customHeight="false" outlineLevel="0" collapsed="false">
      <c r="A42" s="44" t="s">
        <v>438</v>
      </c>
      <c r="B42" s="45" t="n">
        <v>32.85</v>
      </c>
      <c r="C42" s="45" t="n">
        <v>-26</v>
      </c>
      <c r="D42" s="46" t="s">
        <v>343</v>
      </c>
      <c r="E42" s="47" t="n">
        <v>3</v>
      </c>
      <c r="F42" s="47" t="n">
        <v>9</v>
      </c>
      <c r="G42" s="48" t="n">
        <f aca="false">F42-E42</f>
        <v>6</v>
      </c>
      <c r="H42" s="49" t="n">
        <f aca="false">(F42-E42)/E42</f>
        <v>2</v>
      </c>
      <c r="I42" s="55" t="s">
        <v>367</v>
      </c>
      <c r="J42" s="51" t="s">
        <v>345</v>
      </c>
      <c r="K42" s="52" t="n">
        <v>2100</v>
      </c>
      <c r="L42" s="45" t="n">
        <v>0.787</v>
      </c>
      <c r="M42" s="51" t="s">
        <v>346</v>
      </c>
      <c r="N42" s="44" t="s">
        <v>439</v>
      </c>
      <c r="O42" s="53" t="s">
        <v>440</v>
      </c>
    </row>
    <row r="43" customFormat="false" ht="22.35" hidden="false" customHeight="false" outlineLevel="0" collapsed="false">
      <c r="A43" s="34" t="s">
        <v>441</v>
      </c>
      <c r="B43" s="35" t="n">
        <v>-89.35</v>
      </c>
      <c r="C43" s="35" t="n">
        <v>29.1</v>
      </c>
      <c r="D43" s="36" t="s">
        <v>343</v>
      </c>
      <c r="E43" s="37" t="n">
        <v>0.3</v>
      </c>
      <c r="F43" s="37" t="n">
        <v>3</v>
      </c>
      <c r="G43" s="38" t="n">
        <f aca="false">F43-E43</f>
        <v>2.7</v>
      </c>
      <c r="H43" s="39" t="n">
        <f aca="false">(F43-E43)/E43</f>
        <v>9</v>
      </c>
      <c r="I43" s="40" t="s">
        <v>344</v>
      </c>
      <c r="J43" s="41" t="s">
        <v>345</v>
      </c>
      <c r="K43" s="42" t="n">
        <v>2100</v>
      </c>
      <c r="L43" s="35" t="n">
        <v>0.437</v>
      </c>
      <c r="M43" s="41" t="s">
        <v>346</v>
      </c>
      <c r="N43" s="34" t="s">
        <v>442</v>
      </c>
      <c r="O43" s="43" t="s">
        <v>377</v>
      </c>
    </row>
    <row r="44" customFormat="false" ht="22.35" hidden="false" customHeight="false" outlineLevel="0" collapsed="false">
      <c r="A44" s="44" t="s">
        <v>443</v>
      </c>
      <c r="B44" s="45" t="n">
        <v>-88</v>
      </c>
      <c r="C44" s="45" t="n">
        <v>30.75</v>
      </c>
      <c r="D44" s="46" t="s">
        <v>343</v>
      </c>
      <c r="E44" s="47" t="n">
        <v>1.5</v>
      </c>
      <c r="F44" s="47" t="n">
        <v>5.5</v>
      </c>
      <c r="G44" s="48" t="n">
        <f aca="false">F44-E44</f>
        <v>4</v>
      </c>
      <c r="H44" s="49" t="n">
        <f aca="false">(F44-E44)/E44</f>
        <v>2.66666666666667</v>
      </c>
      <c r="I44" s="50" t="s">
        <v>344</v>
      </c>
      <c r="J44" s="51" t="s">
        <v>345</v>
      </c>
      <c r="K44" s="52" t="n">
        <v>2100</v>
      </c>
      <c r="L44" s="45" t="n">
        <v>0.575</v>
      </c>
      <c r="M44" s="51" t="s">
        <v>351</v>
      </c>
      <c r="N44" s="44" t="s">
        <v>444</v>
      </c>
      <c r="O44" s="53"/>
    </row>
    <row r="45" customFormat="false" ht="22.35" hidden="false" customHeight="false" outlineLevel="0" collapsed="false">
      <c r="A45" s="34" t="s">
        <v>445</v>
      </c>
      <c r="B45" s="35" t="n">
        <v>-79.01</v>
      </c>
      <c r="C45" s="35" t="n">
        <v>33.69</v>
      </c>
      <c r="D45" s="36" t="s">
        <v>343</v>
      </c>
      <c r="E45" s="37" t="n">
        <v>0.1</v>
      </c>
      <c r="F45" s="37" t="n">
        <v>1.5</v>
      </c>
      <c r="G45" s="38" t="n">
        <f aca="false">F45-E45</f>
        <v>1.4</v>
      </c>
      <c r="H45" s="39" t="n">
        <f aca="false">(F45-E45)/E45</f>
        <v>14</v>
      </c>
      <c r="I45" s="40" t="s">
        <v>344</v>
      </c>
      <c r="J45" s="41" t="s">
        <v>350</v>
      </c>
      <c r="K45" s="42" t="n">
        <v>2100</v>
      </c>
      <c r="L45" s="35" t="n">
        <v>0.299</v>
      </c>
      <c r="M45" s="41" t="s">
        <v>351</v>
      </c>
      <c r="N45" s="34" t="s">
        <v>446</v>
      </c>
      <c r="O45" s="43" t="s">
        <v>362</v>
      </c>
    </row>
    <row r="46" customFormat="false" ht="22.35" hidden="false" customHeight="false" outlineLevel="0" collapsed="false">
      <c r="A46" s="44" t="s">
        <v>447</v>
      </c>
      <c r="B46" s="45" t="n">
        <v>-81.66</v>
      </c>
      <c r="C46" s="45" t="n">
        <v>30.33</v>
      </c>
      <c r="D46" s="46" t="s">
        <v>343</v>
      </c>
      <c r="E46" s="47" t="n">
        <v>0.5</v>
      </c>
      <c r="F46" s="47" t="n">
        <v>4</v>
      </c>
      <c r="G46" s="48" t="n">
        <f aca="false">F46-E46</f>
        <v>3.5</v>
      </c>
      <c r="H46" s="49" t="n">
        <f aca="false">(F46-E46)/E46</f>
        <v>7</v>
      </c>
      <c r="I46" s="50" t="s">
        <v>344</v>
      </c>
      <c r="J46" s="51" t="s">
        <v>345</v>
      </c>
      <c r="K46" s="52" t="n">
        <v>2100</v>
      </c>
      <c r="L46" s="45" t="n">
        <v>0.522</v>
      </c>
      <c r="M46" s="51" t="s">
        <v>346</v>
      </c>
      <c r="N46" s="44" t="s">
        <v>448</v>
      </c>
      <c r="O46" s="53" t="s">
        <v>449</v>
      </c>
    </row>
    <row r="47" customFormat="false" ht="22.35" hidden="false" customHeight="false" outlineLevel="0" collapsed="false">
      <c r="A47" s="66" t="s">
        <v>450</v>
      </c>
      <c r="B47" s="67" t="n">
        <v>85.32</v>
      </c>
      <c r="C47" s="67" t="n">
        <v>19.72</v>
      </c>
      <c r="D47" s="68" t="s">
        <v>415</v>
      </c>
      <c r="E47" s="69" t="n">
        <v>8</v>
      </c>
      <c r="F47" s="69" t="n">
        <v>4</v>
      </c>
      <c r="G47" s="70" t="n">
        <f aca="false">F47-E47</f>
        <v>-4</v>
      </c>
      <c r="H47" s="71" t="n">
        <f aca="false">(F47-E47)/E47</f>
        <v>-0.5</v>
      </c>
      <c r="I47" s="72" t="s">
        <v>344</v>
      </c>
      <c r="J47" s="73" t="s">
        <v>350</v>
      </c>
      <c r="K47" s="74" t="n">
        <v>2100</v>
      </c>
      <c r="L47" s="67" t="n">
        <v>0.575</v>
      </c>
      <c r="M47" s="73" t="s">
        <v>451</v>
      </c>
      <c r="N47" s="66" t="s">
        <v>452</v>
      </c>
      <c r="O47" s="75"/>
    </row>
    <row r="48" customFormat="false" ht="22.35" hidden="false" customHeight="false" outlineLevel="0" collapsed="false">
      <c r="A48" s="44" t="s">
        <v>453</v>
      </c>
      <c r="B48" s="45" t="n">
        <v>88.35</v>
      </c>
      <c r="C48" s="45" t="n">
        <v>22.56</v>
      </c>
      <c r="D48" s="46" t="s">
        <v>343</v>
      </c>
      <c r="E48" s="47" t="n">
        <v>1.5</v>
      </c>
      <c r="F48" s="47" t="n">
        <v>5.5</v>
      </c>
      <c r="G48" s="48" t="n">
        <f aca="false">F48-E48</f>
        <v>4</v>
      </c>
      <c r="H48" s="49" t="n">
        <f aca="false">(F48-E48)/E48</f>
        <v>2.66666666666667</v>
      </c>
      <c r="I48" s="50" t="s">
        <v>344</v>
      </c>
      <c r="J48" s="51" t="s">
        <v>345</v>
      </c>
      <c r="K48" s="52" t="n">
        <v>2100</v>
      </c>
      <c r="L48" s="45" t="n">
        <v>0.575</v>
      </c>
      <c r="M48" s="51" t="s">
        <v>351</v>
      </c>
      <c r="N48" s="44" t="s">
        <v>454</v>
      </c>
      <c r="O48" s="53"/>
    </row>
    <row r="49" customFormat="false" ht="22.35" hidden="false" customHeight="false" outlineLevel="0" collapsed="false">
      <c r="A49" s="34" t="s">
        <v>455</v>
      </c>
      <c r="B49" s="35" t="n">
        <v>115.65</v>
      </c>
      <c r="C49" s="35" t="n">
        <v>-32.58</v>
      </c>
      <c r="D49" s="36" t="s">
        <v>343</v>
      </c>
      <c r="E49" s="37" t="n">
        <v>20</v>
      </c>
      <c r="F49" s="37" t="n">
        <v>28</v>
      </c>
      <c r="G49" s="38" t="n">
        <f aca="false">F49-E49</f>
        <v>8</v>
      </c>
      <c r="H49" s="39" t="n">
        <f aca="false">(F49-E49)/E49</f>
        <v>0.4</v>
      </c>
      <c r="I49" s="54" t="s">
        <v>367</v>
      </c>
      <c r="J49" s="41" t="s">
        <v>345</v>
      </c>
      <c r="K49" s="42" t="n">
        <v>2100</v>
      </c>
      <c r="L49" s="35" t="n">
        <v>1</v>
      </c>
      <c r="M49" s="41" t="s">
        <v>346</v>
      </c>
      <c r="N49" s="34" t="s">
        <v>456</v>
      </c>
      <c r="O49" s="43" t="s">
        <v>457</v>
      </c>
    </row>
    <row r="50" customFormat="false" ht="32.8" hidden="false" customHeight="false" outlineLevel="0" collapsed="false">
      <c r="A50" s="44" t="s">
        <v>458</v>
      </c>
      <c r="B50" s="45" t="n">
        <v>139.3</v>
      </c>
      <c r="C50" s="45" t="n">
        <v>-35.8</v>
      </c>
      <c r="D50" s="46" t="s">
        <v>343</v>
      </c>
      <c r="E50" s="47" t="n">
        <v>50</v>
      </c>
      <c r="F50" s="47" t="n">
        <v>80</v>
      </c>
      <c r="G50" s="48" t="n">
        <f aca="false">F50-E50</f>
        <v>30</v>
      </c>
      <c r="H50" s="49" t="n">
        <f aca="false">(F50-E50)/E50</f>
        <v>0.6</v>
      </c>
      <c r="I50" s="55" t="s">
        <v>367</v>
      </c>
      <c r="J50" s="51" t="s">
        <v>345</v>
      </c>
      <c r="K50" s="52" t="n">
        <v>2100</v>
      </c>
      <c r="L50" s="45" t="n">
        <v>1</v>
      </c>
      <c r="M50" s="51" t="s">
        <v>351</v>
      </c>
      <c r="N50" s="44" t="s">
        <v>459</v>
      </c>
      <c r="O50" s="53"/>
    </row>
    <row r="51" customFormat="false" ht="22.35" hidden="false" customHeight="false" outlineLevel="0" collapsed="false">
      <c r="A51" s="66" t="s">
        <v>460</v>
      </c>
      <c r="B51" s="67" t="n">
        <v>153.36</v>
      </c>
      <c r="C51" s="67" t="n">
        <v>-29.43</v>
      </c>
      <c r="D51" s="68" t="s">
        <v>415</v>
      </c>
      <c r="E51" s="69" t="n">
        <v>22</v>
      </c>
      <c r="F51" s="69" t="n">
        <v>17</v>
      </c>
      <c r="G51" s="70" t="n">
        <f aca="false">F51-E51</f>
        <v>-5</v>
      </c>
      <c r="H51" s="71" t="n">
        <f aca="false">(F51-E51)/E51</f>
        <v>-0.227272727272727</v>
      </c>
      <c r="I51" s="77" t="s">
        <v>367</v>
      </c>
      <c r="J51" s="73" t="s">
        <v>350</v>
      </c>
      <c r="K51" s="74" t="n">
        <v>2032</v>
      </c>
      <c r="L51" s="67" t="n">
        <v>0.681</v>
      </c>
      <c r="M51" s="73" t="s">
        <v>351</v>
      </c>
      <c r="N51" s="66" t="s">
        <v>416</v>
      </c>
      <c r="O51" s="75" t="s">
        <v>417</v>
      </c>
    </row>
    <row r="52" customFormat="false" ht="22.35" hidden="false" customHeight="false" outlineLevel="0" collapsed="false">
      <c r="A52" s="44" t="s">
        <v>461</v>
      </c>
      <c r="B52" s="45" t="n">
        <v>174.75</v>
      </c>
      <c r="C52" s="45" t="n">
        <v>-37.38</v>
      </c>
      <c r="D52" s="46" t="s">
        <v>343</v>
      </c>
      <c r="E52" s="47" t="n">
        <v>1</v>
      </c>
      <c r="F52" s="47" t="n">
        <v>3.5</v>
      </c>
      <c r="G52" s="48" t="n">
        <f aca="false">F52-E52</f>
        <v>2.5</v>
      </c>
      <c r="H52" s="49" t="n">
        <f aca="false">(F52-E52)/E52</f>
        <v>2.5</v>
      </c>
      <c r="I52" s="50" t="s">
        <v>344</v>
      </c>
      <c r="J52" s="51" t="s">
        <v>345</v>
      </c>
      <c r="K52" s="52" t="n">
        <v>2100</v>
      </c>
      <c r="L52" s="45" t="n">
        <v>0.416</v>
      </c>
      <c r="M52" s="51" t="s">
        <v>351</v>
      </c>
      <c r="N52" s="44" t="s">
        <v>462</v>
      </c>
      <c r="O52" s="53"/>
    </row>
    <row r="53" customFormat="false" ht="22.35" hidden="false" customHeight="false" outlineLevel="0" collapsed="false">
      <c r="A53" s="66" t="s">
        <v>463</v>
      </c>
      <c r="B53" s="67" t="n">
        <v>23.5</v>
      </c>
      <c r="C53" s="67" t="n">
        <v>57.5</v>
      </c>
      <c r="D53" s="68" t="s">
        <v>415</v>
      </c>
      <c r="E53" s="69" t="n">
        <v>5</v>
      </c>
      <c r="F53" s="69" t="n">
        <v>3.5</v>
      </c>
      <c r="G53" s="70" t="n">
        <f aca="false">F53-E53</f>
        <v>-1.5</v>
      </c>
      <c r="H53" s="71" t="n">
        <f aca="false">(F53-E53)/E53</f>
        <v>-0.3</v>
      </c>
      <c r="I53" s="72" t="s">
        <v>344</v>
      </c>
      <c r="J53" s="73" t="s">
        <v>345</v>
      </c>
      <c r="K53" s="74" t="n">
        <v>2100</v>
      </c>
      <c r="L53" s="67" t="n">
        <v>0.309</v>
      </c>
      <c r="M53" s="73" t="s">
        <v>351</v>
      </c>
      <c r="N53" s="66" t="s">
        <v>464</v>
      </c>
      <c r="O53" s="75"/>
    </row>
    <row r="54" customFormat="false" ht="32.8" hidden="false" customHeight="false" outlineLevel="0" collapsed="false">
      <c r="A54" s="44" t="s">
        <v>465</v>
      </c>
      <c r="B54" s="45" t="n">
        <v>29.7</v>
      </c>
      <c r="C54" s="45" t="n">
        <v>45.15</v>
      </c>
      <c r="D54" s="46" t="s">
        <v>343</v>
      </c>
      <c r="E54" s="47" t="n">
        <v>1</v>
      </c>
      <c r="F54" s="47" t="n">
        <v>4.5</v>
      </c>
      <c r="G54" s="48" t="n">
        <f aca="false">F54-E54</f>
        <v>3.5</v>
      </c>
      <c r="H54" s="49" t="n">
        <f aca="false">(F54-E54)/E54</f>
        <v>3.5</v>
      </c>
      <c r="I54" s="50" t="s">
        <v>344</v>
      </c>
      <c r="J54" s="51" t="s">
        <v>345</v>
      </c>
      <c r="K54" s="52" t="n">
        <v>2100</v>
      </c>
      <c r="L54" s="45" t="n">
        <v>0.522</v>
      </c>
      <c r="M54" s="51" t="s">
        <v>346</v>
      </c>
      <c r="N54" s="44" t="s">
        <v>466</v>
      </c>
      <c r="O54" s="53" t="s">
        <v>372</v>
      </c>
    </row>
    <row r="55" customFormat="false" ht="22.35" hidden="false" customHeight="false" outlineLevel="0" collapsed="false">
      <c r="A55" s="34" t="s">
        <v>467</v>
      </c>
      <c r="B55" s="35" t="n">
        <v>79.86</v>
      </c>
      <c r="C55" s="35" t="n">
        <v>11.18</v>
      </c>
      <c r="D55" s="36" t="s">
        <v>343</v>
      </c>
      <c r="E55" s="37" t="n">
        <v>1.5</v>
      </c>
      <c r="F55" s="37" t="n">
        <v>5.5</v>
      </c>
      <c r="G55" s="38" t="n">
        <f aca="false">F55-E55</f>
        <v>4</v>
      </c>
      <c r="H55" s="39" t="n">
        <f aca="false">(F55-E55)/E55</f>
        <v>2.66666666666667</v>
      </c>
      <c r="I55" s="40" t="s">
        <v>344</v>
      </c>
      <c r="J55" s="41" t="s">
        <v>345</v>
      </c>
      <c r="K55" s="42" t="n">
        <v>2100</v>
      </c>
      <c r="L55" s="35" t="n">
        <v>0.575</v>
      </c>
      <c r="M55" s="41" t="s">
        <v>351</v>
      </c>
      <c r="N55" s="34" t="s">
        <v>468</v>
      </c>
      <c r="O55" s="43"/>
    </row>
    <row r="56" customFormat="false" ht="22.35" hidden="false" customHeight="false" outlineLevel="0" collapsed="false">
      <c r="A56" s="44" t="s">
        <v>469</v>
      </c>
      <c r="B56" s="45" t="n">
        <v>39.33</v>
      </c>
      <c r="C56" s="45" t="n">
        <v>-7.8</v>
      </c>
      <c r="D56" s="46" t="s">
        <v>343</v>
      </c>
      <c r="E56" s="47" t="n">
        <v>3.5</v>
      </c>
      <c r="F56" s="47" t="n">
        <v>9</v>
      </c>
      <c r="G56" s="48" t="n">
        <f aca="false">F56-E56</f>
        <v>5.5</v>
      </c>
      <c r="H56" s="49" t="n">
        <f aca="false">(F56-E56)/E56</f>
        <v>1.57142857142857</v>
      </c>
      <c r="I56" s="55" t="s">
        <v>367</v>
      </c>
      <c r="J56" s="51" t="s">
        <v>345</v>
      </c>
      <c r="K56" s="52" t="n">
        <v>2100</v>
      </c>
      <c r="L56" s="45" t="n">
        <v>0.734</v>
      </c>
      <c r="M56" s="51" t="s">
        <v>346</v>
      </c>
      <c r="N56" s="44" t="s">
        <v>470</v>
      </c>
      <c r="O56" s="53" t="s">
        <v>440</v>
      </c>
    </row>
    <row r="57" customFormat="false" ht="32.8" hidden="false" customHeight="false" outlineLevel="0" collapsed="false">
      <c r="A57" s="34" t="s">
        <v>471</v>
      </c>
      <c r="B57" s="35" t="n">
        <v>29.88</v>
      </c>
      <c r="C57" s="35" t="n">
        <v>31.08</v>
      </c>
      <c r="D57" s="36" t="s">
        <v>343</v>
      </c>
      <c r="E57" s="37" t="n">
        <v>1</v>
      </c>
      <c r="F57" s="37" t="n">
        <v>5.5</v>
      </c>
      <c r="G57" s="38" t="n">
        <f aca="false">F57-E57</f>
        <v>4.5</v>
      </c>
      <c r="H57" s="39" t="n">
        <f aca="false">(F57-E57)/E57</f>
        <v>4.5</v>
      </c>
      <c r="I57" s="40" t="s">
        <v>344</v>
      </c>
      <c r="J57" s="41" t="s">
        <v>345</v>
      </c>
      <c r="K57" s="42" t="n">
        <v>2100</v>
      </c>
      <c r="L57" s="35" t="n">
        <v>0.628</v>
      </c>
      <c r="M57" s="41" t="s">
        <v>351</v>
      </c>
      <c r="N57" s="34" t="s">
        <v>472</v>
      </c>
      <c r="O57" s="43" t="s">
        <v>473</v>
      </c>
    </row>
    <row r="58" customFormat="false" ht="32.8" hidden="false" customHeight="false" outlineLevel="0" collapsed="false">
      <c r="A58" s="44" t="s">
        <v>474</v>
      </c>
      <c r="B58" s="45" t="n">
        <v>10.18</v>
      </c>
      <c r="C58" s="45" t="n">
        <v>37.06</v>
      </c>
      <c r="D58" s="46" t="s">
        <v>343</v>
      </c>
      <c r="E58" s="47" t="n">
        <v>3</v>
      </c>
      <c r="F58" s="47" t="n">
        <v>9</v>
      </c>
      <c r="G58" s="48" t="n">
        <f aca="false">F58-E58</f>
        <v>6</v>
      </c>
      <c r="H58" s="49" t="n">
        <f aca="false">(F58-E58)/E58</f>
        <v>2</v>
      </c>
      <c r="I58" s="55" t="s">
        <v>367</v>
      </c>
      <c r="J58" s="51" t="s">
        <v>345</v>
      </c>
      <c r="K58" s="52" t="n">
        <v>2100</v>
      </c>
      <c r="L58" s="45" t="n">
        <v>0.787</v>
      </c>
      <c r="M58" s="51" t="s">
        <v>351</v>
      </c>
      <c r="N58" s="44" t="s">
        <v>475</v>
      </c>
      <c r="O58" s="53" t="s">
        <v>473</v>
      </c>
    </row>
    <row r="59" customFormat="false" ht="22.35" hidden="false" customHeight="false" outlineLevel="0" collapsed="false">
      <c r="A59" s="34" t="s">
        <v>476</v>
      </c>
      <c r="B59" s="35" t="n">
        <v>-5.47</v>
      </c>
      <c r="C59" s="35" t="n">
        <v>35.77</v>
      </c>
      <c r="D59" s="36" t="s">
        <v>343</v>
      </c>
      <c r="E59" s="37" t="n">
        <v>2.5</v>
      </c>
      <c r="F59" s="37" t="n">
        <v>8</v>
      </c>
      <c r="G59" s="38" t="n">
        <f aca="false">F59-E59</f>
        <v>5.5</v>
      </c>
      <c r="H59" s="39" t="n">
        <f aca="false">(F59-E59)/E59</f>
        <v>2.2</v>
      </c>
      <c r="I59" s="54" t="s">
        <v>367</v>
      </c>
      <c r="J59" s="41" t="s">
        <v>345</v>
      </c>
      <c r="K59" s="42" t="n">
        <v>2100</v>
      </c>
      <c r="L59" s="35" t="n">
        <v>0.734</v>
      </c>
      <c r="M59" s="41" t="s">
        <v>351</v>
      </c>
      <c r="N59" s="34" t="s">
        <v>477</v>
      </c>
      <c r="O59" s="43"/>
    </row>
    <row r="60" customFormat="false" ht="22.35" hidden="false" customHeight="false" outlineLevel="0" collapsed="false">
      <c r="A60" s="44" t="s">
        <v>478</v>
      </c>
      <c r="B60" s="45" t="n">
        <v>2.18</v>
      </c>
      <c r="C60" s="45" t="n">
        <v>36.87</v>
      </c>
      <c r="D60" s="46" t="s">
        <v>343</v>
      </c>
      <c r="E60" s="47" t="n">
        <v>2</v>
      </c>
      <c r="F60" s="47" t="n">
        <v>7.5</v>
      </c>
      <c r="G60" s="48" t="n">
        <f aca="false">F60-E60</f>
        <v>5.5</v>
      </c>
      <c r="H60" s="49" t="n">
        <f aca="false">(F60-E60)/E60</f>
        <v>2.75</v>
      </c>
      <c r="I60" s="55" t="s">
        <v>367</v>
      </c>
      <c r="J60" s="51" t="s">
        <v>345</v>
      </c>
      <c r="K60" s="52" t="n">
        <v>2100</v>
      </c>
      <c r="L60" s="45" t="n">
        <v>0.734</v>
      </c>
      <c r="M60" s="51" t="s">
        <v>351</v>
      </c>
      <c r="N60" s="44" t="s">
        <v>479</v>
      </c>
      <c r="O60" s="53"/>
    </row>
    <row r="61" customFormat="false" ht="43.25" hidden="false" customHeight="false" outlineLevel="0" collapsed="false">
      <c r="A61" s="34" t="s">
        <v>480</v>
      </c>
      <c r="B61" s="35" t="n">
        <v>115.87</v>
      </c>
      <c r="C61" s="35" t="n">
        <v>-31.97</v>
      </c>
      <c r="D61" s="36" t="s">
        <v>343</v>
      </c>
      <c r="E61" s="37" t="n">
        <v>0.5</v>
      </c>
      <c r="F61" s="37" t="n">
        <v>4.5</v>
      </c>
      <c r="G61" s="38" t="n">
        <f aca="false">F61-E61</f>
        <v>4</v>
      </c>
      <c r="H61" s="39" t="n">
        <f aca="false">(F61-E61)/E61</f>
        <v>8</v>
      </c>
      <c r="I61" s="40" t="s">
        <v>344</v>
      </c>
      <c r="J61" s="41" t="s">
        <v>345</v>
      </c>
      <c r="K61" s="42" t="n">
        <v>2100</v>
      </c>
      <c r="L61" s="35" t="n">
        <v>0.575</v>
      </c>
      <c r="M61" s="41" t="s">
        <v>351</v>
      </c>
      <c r="N61" s="34" t="s">
        <v>481</v>
      </c>
      <c r="O61" s="43"/>
    </row>
    <row r="62" customFormat="false" ht="43.25" hidden="false" customHeight="false" outlineLevel="0" collapsed="false">
      <c r="A62" s="44" t="s">
        <v>482</v>
      </c>
      <c r="B62" s="45" t="n">
        <v>147.62</v>
      </c>
      <c r="C62" s="45" t="n">
        <v>-38.12</v>
      </c>
      <c r="D62" s="46" t="s">
        <v>343</v>
      </c>
      <c r="E62" s="47" t="n">
        <v>8</v>
      </c>
      <c r="F62" s="47" t="n">
        <v>15</v>
      </c>
      <c r="G62" s="48" t="n">
        <f aca="false">F62-E62</f>
        <v>7</v>
      </c>
      <c r="H62" s="49" t="n">
        <f aca="false">(F62-E62)/E62</f>
        <v>0.875</v>
      </c>
      <c r="I62" s="55" t="s">
        <v>367</v>
      </c>
      <c r="J62" s="51" t="s">
        <v>345</v>
      </c>
      <c r="K62" s="52" t="n">
        <v>2090</v>
      </c>
      <c r="L62" s="45" t="n">
        <v>0.894</v>
      </c>
      <c r="M62" s="51" t="s">
        <v>351</v>
      </c>
      <c r="N62" s="44" t="s">
        <v>483</v>
      </c>
      <c r="O62" s="53" t="s">
        <v>417</v>
      </c>
    </row>
    <row r="63" customFormat="false" ht="32.8" hidden="false" customHeight="false" outlineLevel="0" collapsed="false">
      <c r="A63" s="34" t="s">
        <v>484</v>
      </c>
      <c r="B63" s="35" t="n">
        <v>138.86</v>
      </c>
      <c r="C63" s="35" t="n">
        <v>-34.72</v>
      </c>
      <c r="D63" s="36" t="s">
        <v>343</v>
      </c>
      <c r="E63" s="37" t="n">
        <v>35</v>
      </c>
      <c r="F63" s="37" t="n">
        <v>40</v>
      </c>
      <c r="G63" s="38" t="n">
        <f aca="false">F63-E63</f>
        <v>5</v>
      </c>
      <c r="H63" s="39" t="n">
        <f aca="false">(F63-E63)/E63</f>
        <v>0.142857142857143</v>
      </c>
      <c r="I63" s="54" t="s">
        <v>367</v>
      </c>
      <c r="J63" s="41" t="s">
        <v>345</v>
      </c>
      <c r="K63" s="42" t="n">
        <v>2100</v>
      </c>
      <c r="L63" s="35" t="n">
        <v>0.681</v>
      </c>
      <c r="M63" s="41" t="s">
        <v>351</v>
      </c>
      <c r="N63" s="34" t="s">
        <v>485</v>
      </c>
      <c r="O63" s="43"/>
    </row>
    <row r="64" customFormat="false" ht="32.8" hidden="false" customHeight="false" outlineLevel="0" collapsed="false">
      <c r="A64" s="44" t="s">
        <v>486</v>
      </c>
      <c r="B64" s="45" t="n">
        <v>176.92</v>
      </c>
      <c r="C64" s="45" t="n">
        <v>-39.45</v>
      </c>
      <c r="D64" s="46" t="s">
        <v>343</v>
      </c>
      <c r="E64" s="47" t="n">
        <v>1.5</v>
      </c>
      <c r="F64" s="47" t="n">
        <v>5</v>
      </c>
      <c r="G64" s="48" t="n">
        <f aca="false">F64-E64</f>
        <v>3.5</v>
      </c>
      <c r="H64" s="49" t="n">
        <f aca="false">(F64-E64)/E64</f>
        <v>2.33333333333333</v>
      </c>
      <c r="I64" s="50" t="s">
        <v>344</v>
      </c>
      <c r="J64" s="51" t="s">
        <v>345</v>
      </c>
      <c r="K64" s="52" t="n">
        <v>2100</v>
      </c>
      <c r="L64" s="45" t="n">
        <v>0.522</v>
      </c>
      <c r="M64" s="51" t="s">
        <v>351</v>
      </c>
      <c r="N64" s="44" t="s">
        <v>487</v>
      </c>
      <c r="O64" s="53"/>
    </row>
    <row r="65" customFormat="false" ht="43.25" hidden="false" customHeight="false" outlineLevel="0" collapsed="false">
      <c r="A65" s="34" t="s">
        <v>488</v>
      </c>
      <c r="B65" s="35" t="n">
        <v>173.21</v>
      </c>
      <c r="C65" s="35" t="n">
        <v>-41.27</v>
      </c>
      <c r="D65" s="36" t="s">
        <v>343</v>
      </c>
      <c r="E65" s="37" t="n">
        <v>5</v>
      </c>
      <c r="F65" s="37" t="n">
        <v>9</v>
      </c>
      <c r="G65" s="38" t="n">
        <f aca="false">F65-E65</f>
        <v>4</v>
      </c>
      <c r="H65" s="39" t="n">
        <f aca="false">(F65-E65)/E65</f>
        <v>0.8</v>
      </c>
      <c r="I65" s="54" t="s">
        <v>367</v>
      </c>
      <c r="J65" s="41" t="s">
        <v>345</v>
      </c>
      <c r="K65" s="42" t="n">
        <v>2100</v>
      </c>
      <c r="L65" s="35" t="n">
        <v>0.575</v>
      </c>
      <c r="M65" s="41" t="s">
        <v>351</v>
      </c>
      <c r="N65" s="34" t="s">
        <v>489</v>
      </c>
      <c r="O65" s="43"/>
    </row>
    <row r="66" customFormat="false" ht="32.8" hidden="false" customHeight="false" outlineLevel="0" collapsed="false">
      <c r="A66" s="44" t="s">
        <v>490</v>
      </c>
      <c r="B66" s="45" t="n">
        <v>-37.5</v>
      </c>
      <c r="C66" s="45" t="n">
        <v>-10.5</v>
      </c>
      <c r="D66" s="46" t="s">
        <v>343</v>
      </c>
      <c r="E66" s="47" t="n">
        <v>3</v>
      </c>
      <c r="F66" s="47" t="n">
        <v>20</v>
      </c>
      <c r="G66" s="48" t="n">
        <f aca="false">F66-E66</f>
        <v>17</v>
      </c>
      <c r="H66" s="49" t="n">
        <f aca="false">(F66-E66)/E66</f>
        <v>5.66666666666667</v>
      </c>
      <c r="I66" s="55" t="s">
        <v>367</v>
      </c>
      <c r="J66" s="51" t="s">
        <v>345</v>
      </c>
      <c r="K66" s="52" t="n">
        <v>2100</v>
      </c>
      <c r="L66" s="45" t="n">
        <v>1</v>
      </c>
      <c r="M66" s="51" t="s">
        <v>351</v>
      </c>
      <c r="N66" s="44" t="s">
        <v>491</v>
      </c>
      <c r="O66" s="53"/>
    </row>
    <row r="67" customFormat="false" ht="32.8" hidden="false" customHeight="false" outlineLevel="0" collapsed="false">
      <c r="A67" s="34" t="s">
        <v>492</v>
      </c>
      <c r="B67" s="35" t="n">
        <v>-40.5</v>
      </c>
      <c r="C67" s="35" t="n">
        <v>-2.9</v>
      </c>
      <c r="D67" s="36" t="s">
        <v>343</v>
      </c>
      <c r="E67" s="37" t="n">
        <v>38</v>
      </c>
      <c r="F67" s="37" t="n">
        <v>45</v>
      </c>
      <c r="G67" s="38" t="n">
        <f aca="false">F67-E67</f>
        <v>7</v>
      </c>
      <c r="H67" s="39" t="n">
        <f aca="false">(F67-E67)/E67</f>
        <v>0.184210526315789</v>
      </c>
      <c r="I67" s="54" t="s">
        <v>367</v>
      </c>
      <c r="J67" s="41" t="s">
        <v>345</v>
      </c>
      <c r="K67" s="42" t="n">
        <v>2100</v>
      </c>
      <c r="L67" s="35" t="n">
        <v>0.894</v>
      </c>
      <c r="M67" s="41" t="s">
        <v>351</v>
      </c>
      <c r="N67" s="34" t="s">
        <v>493</v>
      </c>
      <c r="O67" s="43"/>
    </row>
    <row r="68" customFormat="false" ht="22.35" hidden="false" customHeight="false" outlineLevel="0" collapsed="false">
      <c r="A68" s="44" t="s">
        <v>494</v>
      </c>
      <c r="B68" s="45" t="n">
        <v>-80.15</v>
      </c>
      <c r="C68" s="45" t="n">
        <v>-2.2</v>
      </c>
      <c r="D68" s="46" t="s">
        <v>343</v>
      </c>
      <c r="E68" s="47" t="n">
        <v>2</v>
      </c>
      <c r="F68" s="47" t="n">
        <v>6</v>
      </c>
      <c r="G68" s="48" t="n">
        <f aca="false">F68-E68</f>
        <v>4</v>
      </c>
      <c r="H68" s="49" t="n">
        <f aca="false">(F68-E68)/E68</f>
        <v>2</v>
      </c>
      <c r="I68" s="50" t="s">
        <v>344</v>
      </c>
      <c r="J68" s="51" t="s">
        <v>345</v>
      </c>
      <c r="K68" s="52" t="n">
        <v>2100</v>
      </c>
      <c r="L68" s="45" t="n">
        <v>0.575</v>
      </c>
      <c r="M68" s="51" t="s">
        <v>351</v>
      </c>
      <c r="N68" s="44" t="s">
        <v>495</v>
      </c>
      <c r="O68" s="53" t="s">
        <v>377</v>
      </c>
    </row>
    <row r="69" customFormat="false" ht="32.8" hidden="false" customHeight="false" outlineLevel="0" collapsed="false">
      <c r="A69" s="34" t="s">
        <v>496</v>
      </c>
      <c r="B69" s="35" t="n">
        <v>-77.15</v>
      </c>
      <c r="C69" s="35" t="n">
        <v>-12.05</v>
      </c>
      <c r="D69" s="36" t="s">
        <v>343</v>
      </c>
      <c r="E69" s="37" t="n">
        <v>1.5</v>
      </c>
      <c r="F69" s="37" t="n">
        <v>5</v>
      </c>
      <c r="G69" s="38" t="n">
        <f aca="false">F69-E69</f>
        <v>3.5</v>
      </c>
      <c r="H69" s="39" t="n">
        <f aca="false">(F69-E69)/E69</f>
        <v>2.33333333333333</v>
      </c>
      <c r="I69" s="40" t="s">
        <v>344</v>
      </c>
      <c r="J69" s="41" t="s">
        <v>345</v>
      </c>
      <c r="K69" s="42" t="n">
        <v>2100</v>
      </c>
      <c r="L69" s="35" t="n">
        <v>0.522</v>
      </c>
      <c r="M69" s="41" t="s">
        <v>351</v>
      </c>
      <c r="N69" s="34" t="s">
        <v>497</v>
      </c>
      <c r="O69" s="43"/>
    </row>
    <row r="70" customFormat="false" ht="53.7" hidden="false" customHeight="false" outlineLevel="0" collapsed="false">
      <c r="A70" s="44" t="s">
        <v>498</v>
      </c>
      <c r="B70" s="45" t="n">
        <v>67.3</v>
      </c>
      <c r="C70" s="45" t="n">
        <v>24</v>
      </c>
      <c r="D70" s="46" t="s">
        <v>343</v>
      </c>
      <c r="E70" s="47" t="n">
        <v>15</v>
      </c>
      <c r="F70" s="47" t="n">
        <v>35</v>
      </c>
      <c r="G70" s="48" t="n">
        <f aca="false">F70-E70</f>
        <v>20</v>
      </c>
      <c r="H70" s="49" t="n">
        <f aca="false">(F70-E70)/E70</f>
        <v>1.33333333333333</v>
      </c>
      <c r="I70" s="55" t="s">
        <v>367</v>
      </c>
      <c r="J70" s="51" t="s">
        <v>345</v>
      </c>
      <c r="K70" s="52" t="n">
        <v>2100</v>
      </c>
      <c r="L70" s="45" t="n">
        <v>1</v>
      </c>
      <c r="M70" s="51" t="s">
        <v>351</v>
      </c>
      <c r="N70" s="44" t="s">
        <v>499</v>
      </c>
      <c r="O70" s="53" t="s">
        <v>500</v>
      </c>
    </row>
    <row r="71" customFormat="false" ht="43.25" hidden="false" customHeight="false" outlineLevel="0" collapsed="false">
      <c r="A71" s="34" t="s">
        <v>501</v>
      </c>
      <c r="B71" s="35" t="n">
        <v>51.5</v>
      </c>
      <c r="C71" s="35" t="n">
        <v>26</v>
      </c>
      <c r="D71" s="36" t="s">
        <v>343</v>
      </c>
      <c r="E71" s="37" t="n">
        <v>40</v>
      </c>
      <c r="F71" s="37" t="n">
        <v>46</v>
      </c>
      <c r="G71" s="38" t="n">
        <f aca="false">F71-E71</f>
        <v>6</v>
      </c>
      <c r="H71" s="39" t="n">
        <f aca="false">(F71-E71)/E71</f>
        <v>0.15</v>
      </c>
      <c r="I71" s="54" t="s">
        <v>367</v>
      </c>
      <c r="J71" s="41" t="s">
        <v>345</v>
      </c>
      <c r="K71" s="42" t="n">
        <v>2100</v>
      </c>
      <c r="L71" s="35" t="n">
        <v>0.894</v>
      </c>
      <c r="M71" s="41" t="s">
        <v>351</v>
      </c>
      <c r="N71" s="34" t="s">
        <v>502</v>
      </c>
      <c r="O71" s="43"/>
    </row>
    <row r="72" customFormat="false" ht="32.8" hidden="false" customHeight="false" outlineLevel="0" collapsed="false">
      <c r="A72" s="44" t="s">
        <v>503</v>
      </c>
      <c r="B72" s="45" t="n">
        <v>-73.2</v>
      </c>
      <c r="C72" s="45" t="n">
        <v>-39.8</v>
      </c>
      <c r="D72" s="46" t="s">
        <v>343</v>
      </c>
      <c r="E72" s="47" t="n">
        <v>2</v>
      </c>
      <c r="F72" s="47" t="n">
        <v>6.5</v>
      </c>
      <c r="G72" s="48" t="n">
        <f aca="false">F72-E72</f>
        <v>4.5</v>
      </c>
      <c r="H72" s="49" t="n">
        <f aca="false">(F72-E72)/E72</f>
        <v>2.25</v>
      </c>
      <c r="I72" s="55" t="s">
        <v>367</v>
      </c>
      <c r="J72" s="51" t="s">
        <v>345</v>
      </c>
      <c r="K72" s="52" t="n">
        <v>2100</v>
      </c>
      <c r="L72" s="45" t="n">
        <v>0.628</v>
      </c>
      <c r="M72" s="51" t="s">
        <v>351</v>
      </c>
      <c r="N72" s="44" t="s">
        <v>504</v>
      </c>
      <c r="O72" s="53" t="s">
        <v>505</v>
      </c>
    </row>
    <row r="73" customFormat="false" ht="32.8" hidden="false" customHeight="false" outlineLevel="0" collapsed="false">
      <c r="A73" s="34" t="s">
        <v>506</v>
      </c>
      <c r="B73" s="35" t="n">
        <v>-73.7</v>
      </c>
      <c r="C73" s="35" t="n">
        <v>-42.5</v>
      </c>
      <c r="D73" s="36" t="s">
        <v>343</v>
      </c>
      <c r="E73" s="37" t="n">
        <v>5</v>
      </c>
      <c r="F73" s="37" t="n">
        <v>10</v>
      </c>
      <c r="G73" s="38" t="n">
        <f aca="false">F73-E73</f>
        <v>5</v>
      </c>
      <c r="H73" s="39" t="n">
        <f aca="false">(F73-E73)/E73</f>
        <v>1</v>
      </c>
      <c r="I73" s="54" t="s">
        <v>367</v>
      </c>
      <c r="J73" s="41" t="s">
        <v>345</v>
      </c>
      <c r="K73" s="42" t="n">
        <v>2100</v>
      </c>
      <c r="L73" s="35" t="n">
        <v>0.681</v>
      </c>
      <c r="M73" s="41" t="s">
        <v>351</v>
      </c>
      <c r="N73" s="34" t="s">
        <v>507</v>
      </c>
      <c r="O73" s="43" t="s">
        <v>508</v>
      </c>
    </row>
    <row r="74" customFormat="false" ht="15" hidden="false" customHeight="false" outlineLevel="0" collapsed="false">
      <c r="A74" s="78" t="s">
        <v>509</v>
      </c>
      <c r="E74" s="79" t="n">
        <f aca="false">AVERAGE(E3:E73)</f>
        <v>5.44366197183099</v>
      </c>
      <c r="F74" s="79" t="n">
        <f aca="false">AVERAGE(F3:F73)</f>
        <v>9.7887323943662</v>
      </c>
      <c r="G74" s="80" t="n">
        <f aca="false">AVERAGE(G3:G73)</f>
        <v>4.34507042253521</v>
      </c>
      <c r="I74" s="81" t="n">
        <f aca="false">COUNTIF(I3:I73,"YES")</f>
        <v>39</v>
      </c>
    </row>
  </sheetData>
  <autoFilter ref="A2:O2"/>
  <mergeCells count="1">
    <mergeCell ref="A1:O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4A3B8"/>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4"/>
    <col collapsed="false" customWidth="true" hidden="false" outlineLevel="0" max="4" min="4" style="0" width="72"/>
    <col collapsed="false" customWidth="true" hidden="false" outlineLevel="0" max="8" min="5" style="0" width="4"/>
  </cols>
  <sheetData>
    <row r="1" customFormat="false" ht="27.75" hidden="false" customHeight="true" outlineLevel="0" collapsed="false">
      <c r="A1" s="82" t="s">
        <v>510</v>
      </c>
      <c r="B1" s="82"/>
      <c r="C1" s="82"/>
      <c r="D1" s="82"/>
      <c r="E1" s="82"/>
      <c r="F1" s="82"/>
      <c r="G1" s="82"/>
      <c r="H1" s="82"/>
    </row>
    <row r="2" customFormat="false" ht="19.5" hidden="false" customHeight="true" outlineLevel="0" collapsed="false">
      <c r="A2" s="83" t="s">
        <v>511</v>
      </c>
      <c r="B2" s="83"/>
      <c r="C2" s="83"/>
      <c r="D2" s="83"/>
      <c r="E2" s="83"/>
      <c r="F2" s="83"/>
      <c r="G2" s="83"/>
      <c r="H2" s="83"/>
    </row>
    <row r="3" customFormat="false" ht="15" hidden="false" customHeight="true" outlineLevel="0" collapsed="false">
      <c r="B3" s="84" t="s">
        <v>512</v>
      </c>
      <c r="C3" s="84"/>
      <c r="D3" s="85" t="s">
        <v>513</v>
      </c>
      <c r="E3" s="85"/>
      <c r="F3" s="85"/>
      <c r="G3" s="85"/>
      <c r="H3" s="85"/>
    </row>
    <row r="4" customFormat="false" ht="15" hidden="false" customHeight="true" outlineLevel="0" collapsed="false">
      <c r="B4" s="84" t="s">
        <v>514</v>
      </c>
      <c r="C4" s="84"/>
      <c r="D4" s="85" t="s">
        <v>515</v>
      </c>
      <c r="E4" s="85"/>
      <c r="F4" s="85"/>
      <c r="G4" s="85"/>
      <c r="H4" s="85"/>
    </row>
    <row r="5" customFormat="false" ht="15" hidden="false" customHeight="true" outlineLevel="0" collapsed="false">
      <c r="B5" s="84" t="s">
        <v>516</v>
      </c>
      <c r="C5" s="84"/>
      <c r="D5" s="85" t="s">
        <v>517</v>
      </c>
      <c r="E5" s="85"/>
      <c r="F5" s="85"/>
      <c r="G5" s="85"/>
      <c r="H5" s="85"/>
    </row>
    <row r="6" customFormat="false" ht="15" hidden="false" customHeight="true" outlineLevel="0" collapsed="false">
      <c r="B6" s="84" t="s">
        <v>518</v>
      </c>
      <c r="C6" s="84"/>
      <c r="D6" s="85" t="s">
        <v>519</v>
      </c>
      <c r="E6" s="85"/>
      <c r="F6" s="85"/>
      <c r="G6" s="85"/>
      <c r="H6" s="85"/>
    </row>
    <row r="7" customFormat="false" ht="15" hidden="false" customHeight="true" outlineLevel="0" collapsed="false">
      <c r="B7" s="84" t="s">
        <v>520</v>
      </c>
      <c r="C7" s="84"/>
      <c r="D7" s="85" t="s">
        <v>521</v>
      </c>
      <c r="E7" s="85"/>
      <c r="F7" s="85"/>
      <c r="G7" s="85"/>
      <c r="H7" s="85"/>
    </row>
    <row r="8" customFormat="false" ht="15" hidden="false" customHeight="true" outlineLevel="0" collapsed="false">
      <c r="B8" s="84" t="s">
        <v>522</v>
      </c>
      <c r="C8" s="84"/>
      <c r="D8" s="85" t="s">
        <v>523</v>
      </c>
      <c r="E8" s="85"/>
      <c r="F8" s="85"/>
      <c r="G8" s="85"/>
      <c r="H8" s="85"/>
    </row>
    <row r="9" customFormat="false" ht="15" hidden="false" customHeight="true" outlineLevel="0" collapsed="false">
      <c r="B9" s="84" t="s">
        <v>524</v>
      </c>
      <c r="C9" s="84"/>
      <c r="D9" s="85" t="s">
        <v>525</v>
      </c>
      <c r="E9" s="85"/>
      <c r="F9" s="85"/>
      <c r="G9" s="85"/>
      <c r="H9" s="85"/>
    </row>
    <row r="11" customFormat="false" ht="15" hidden="false" customHeight="false" outlineLevel="0" collapsed="false">
      <c r="A11" s="2" t="s">
        <v>5</v>
      </c>
      <c r="B11" s="2" t="s">
        <v>520</v>
      </c>
      <c r="C11" s="2" t="s">
        <v>522</v>
      </c>
      <c r="D11" s="2" t="s">
        <v>526</v>
      </c>
      <c r="E11" s="2" t="s">
        <v>527</v>
      </c>
    </row>
    <row r="12" customFormat="false" ht="95.5" hidden="false" customHeight="false" outlineLevel="0" collapsed="false">
      <c r="A12" s="6" t="n">
        <v>0</v>
      </c>
      <c r="B12" s="86" t="n">
        <v>8.51</v>
      </c>
      <c r="C12" s="4" t="n">
        <v>0.358</v>
      </c>
      <c r="D12" s="87" t="n">
        <f aca="false">B12/C12</f>
        <v>23.7709497206704</v>
      </c>
      <c r="E12" s="3" t="s">
        <v>528</v>
      </c>
    </row>
    <row r="13" customFormat="false" ht="53.7" hidden="false" customHeight="false" outlineLevel="0" collapsed="false">
      <c r="A13" s="12" t="n">
        <v>0.1</v>
      </c>
      <c r="B13" s="88" t="n">
        <v>10.99</v>
      </c>
      <c r="C13" s="10" t="n">
        <v>0.597</v>
      </c>
      <c r="D13" s="89" t="n">
        <f aca="false">B13/C13</f>
        <v>18.4087102177554</v>
      </c>
      <c r="E13" s="9" t="s">
        <v>529</v>
      </c>
    </row>
    <row r="14" customFormat="false" ht="43.25" hidden="false" customHeight="false" outlineLevel="0" collapsed="false">
      <c r="A14" s="6" t="n">
        <v>0.5</v>
      </c>
      <c r="B14" s="86" t="n">
        <v>32.02</v>
      </c>
      <c r="C14" s="4" t="n">
        <v>0.822</v>
      </c>
      <c r="D14" s="87" t="n">
        <f aca="false">B14/C14</f>
        <v>38.9537712895377</v>
      </c>
      <c r="E14" s="3" t="s">
        <v>530</v>
      </c>
    </row>
    <row r="15" customFormat="false" ht="105.95" hidden="false" customHeight="false" outlineLevel="0" collapsed="false">
      <c r="A15" s="12" t="n">
        <v>5</v>
      </c>
      <c r="B15" s="88" t="n">
        <v>61.02</v>
      </c>
      <c r="C15" s="10" t="n">
        <v>0.271</v>
      </c>
      <c r="D15" s="89" t="n">
        <f aca="false">B15/C15</f>
        <v>225.166051660517</v>
      </c>
      <c r="E15" s="9" t="s">
        <v>531</v>
      </c>
    </row>
    <row r="16" customFormat="false" ht="53.7" hidden="false" customHeight="false" outlineLevel="0" collapsed="false">
      <c r="A16" s="6" t="n">
        <v>10</v>
      </c>
      <c r="B16" s="86" t="n">
        <v>36.63</v>
      </c>
      <c r="C16" s="4" t="n">
        <v>0.303</v>
      </c>
      <c r="D16" s="87" t="n">
        <f aca="false">B16/C16</f>
        <v>120.891089108911</v>
      </c>
      <c r="E16" s="3" t="s">
        <v>532</v>
      </c>
    </row>
    <row r="17" customFormat="false" ht="43.25" hidden="false" customHeight="false" outlineLevel="0" collapsed="false">
      <c r="A17" s="12" t="n">
        <v>20</v>
      </c>
      <c r="B17" s="88" t="n">
        <v>39.35</v>
      </c>
      <c r="C17" s="10" t="n">
        <v>0.359</v>
      </c>
      <c r="D17" s="89" t="n">
        <f aca="false">B17/C17</f>
        <v>109.610027855153</v>
      </c>
      <c r="E17" s="9" t="s">
        <v>533</v>
      </c>
    </row>
    <row r="19" customFormat="false" ht="19.5" hidden="false" customHeight="true" outlineLevel="0" collapsed="false">
      <c r="A19" s="83" t="s">
        <v>534</v>
      </c>
      <c r="B19" s="83"/>
      <c r="C19" s="83"/>
      <c r="D19" s="83"/>
      <c r="E19" s="83"/>
      <c r="F19" s="83"/>
      <c r="G19" s="83"/>
      <c r="H19" s="83"/>
    </row>
    <row r="20" customFormat="false" ht="15" hidden="false" customHeight="true" outlineLevel="0" collapsed="false">
      <c r="B20" s="90" t="s">
        <v>535</v>
      </c>
      <c r="C20" s="90"/>
      <c r="D20" s="91" t="s">
        <v>536</v>
      </c>
      <c r="E20" s="91"/>
      <c r="F20" s="91"/>
      <c r="G20" s="91"/>
      <c r="H20" s="91"/>
    </row>
    <row r="21" customFormat="false" ht="15" hidden="false" customHeight="true" outlineLevel="0" collapsed="false">
      <c r="B21" s="90" t="s">
        <v>537</v>
      </c>
      <c r="C21" s="90"/>
      <c r="D21" s="91" t="s">
        <v>538</v>
      </c>
      <c r="E21" s="91"/>
      <c r="F21" s="91"/>
      <c r="G21" s="91"/>
      <c r="H21" s="91"/>
    </row>
    <row r="22" customFormat="false" ht="15" hidden="false" customHeight="true" outlineLevel="0" collapsed="false">
      <c r="B22" s="90" t="s">
        <v>539</v>
      </c>
      <c r="C22" s="90"/>
      <c r="D22" s="91" t="s">
        <v>540</v>
      </c>
      <c r="E22" s="91"/>
      <c r="F22" s="91"/>
      <c r="G22" s="91"/>
      <c r="H22" s="91"/>
    </row>
    <row r="23" customFormat="false" ht="15" hidden="false" customHeight="true" outlineLevel="0" collapsed="false">
      <c r="B23" s="90" t="s">
        <v>541</v>
      </c>
      <c r="C23" s="90"/>
      <c r="D23" s="91" t="s">
        <v>542</v>
      </c>
      <c r="E23" s="91"/>
      <c r="F23" s="91"/>
      <c r="G23" s="91"/>
      <c r="H23" s="91"/>
    </row>
    <row r="24" customFormat="false" ht="15" hidden="false" customHeight="true" outlineLevel="0" collapsed="false">
      <c r="B24" s="90" t="s">
        <v>543</v>
      </c>
      <c r="C24" s="90"/>
      <c r="D24" s="91" t="s">
        <v>544</v>
      </c>
      <c r="E24" s="91"/>
      <c r="F24" s="91"/>
      <c r="G24" s="91"/>
      <c r="H24" s="91"/>
    </row>
    <row r="25" customFormat="false" ht="15" hidden="false" customHeight="true" outlineLevel="0" collapsed="false">
      <c r="B25" s="90" t="s">
        <v>545</v>
      </c>
      <c r="C25" s="90"/>
      <c r="D25" s="91" t="s">
        <v>546</v>
      </c>
      <c r="E25" s="91"/>
      <c r="F25" s="91"/>
      <c r="G25" s="91"/>
      <c r="H25" s="91"/>
    </row>
    <row r="26" customFormat="false" ht="15" hidden="false" customHeight="true" outlineLevel="0" collapsed="false">
      <c r="B26" s="90" t="s">
        <v>547</v>
      </c>
      <c r="C26" s="90"/>
      <c r="D26" s="91" t="s">
        <v>548</v>
      </c>
      <c r="E26" s="91"/>
      <c r="F26" s="91"/>
      <c r="G26" s="91"/>
      <c r="H26" s="91"/>
    </row>
    <row r="27" customFormat="false" ht="15" hidden="false" customHeight="true" outlineLevel="0" collapsed="false">
      <c r="B27" s="90" t="s">
        <v>549</v>
      </c>
      <c r="C27" s="90"/>
      <c r="D27" s="91" t="s">
        <v>550</v>
      </c>
      <c r="E27" s="91"/>
      <c r="F27" s="91"/>
      <c r="G27" s="91"/>
      <c r="H27" s="91"/>
    </row>
    <row r="28" customFormat="false" ht="15" hidden="false" customHeight="true" outlineLevel="0" collapsed="false">
      <c r="B28" s="90" t="s">
        <v>551</v>
      </c>
      <c r="C28" s="90"/>
      <c r="D28" s="91" t="s">
        <v>552</v>
      </c>
      <c r="E28" s="91"/>
      <c r="F28" s="91"/>
      <c r="G28" s="91"/>
      <c r="H28" s="91"/>
    </row>
    <row r="29" customFormat="false" ht="15" hidden="false" customHeight="true" outlineLevel="0" collapsed="false">
      <c r="B29" s="90" t="s">
        <v>553</v>
      </c>
      <c r="C29" s="90"/>
      <c r="D29" s="91" t="s">
        <v>554</v>
      </c>
      <c r="E29" s="91"/>
      <c r="F29" s="91"/>
      <c r="G29" s="91"/>
      <c r="H29" s="91"/>
    </row>
    <row r="30" customFormat="false" ht="15" hidden="false" customHeight="true" outlineLevel="0" collapsed="false">
      <c r="B30" s="90" t="s">
        <v>555</v>
      </c>
      <c r="C30" s="90"/>
      <c r="D30" s="91" t="s">
        <v>556</v>
      </c>
      <c r="E30" s="91"/>
      <c r="F30" s="91"/>
      <c r="G30" s="91"/>
      <c r="H30" s="91"/>
    </row>
    <row r="32" customFormat="false" ht="19.5" hidden="false" customHeight="true" outlineLevel="0" collapsed="false">
      <c r="A32" s="83" t="s">
        <v>557</v>
      </c>
      <c r="B32" s="83"/>
      <c r="C32" s="83"/>
      <c r="D32" s="83"/>
      <c r="E32" s="83"/>
      <c r="F32" s="83"/>
      <c r="G32" s="83"/>
      <c r="H32" s="83"/>
    </row>
    <row r="33" customFormat="false" ht="15" hidden="false" customHeight="true" outlineLevel="0" collapsed="false">
      <c r="B33" s="92" t="s">
        <v>558</v>
      </c>
      <c r="C33" s="92"/>
      <c r="D33" s="93" t="s">
        <v>559</v>
      </c>
      <c r="E33" s="93"/>
      <c r="F33" s="93"/>
      <c r="G33" s="93"/>
      <c r="H33" s="93"/>
    </row>
    <row r="34" customFormat="false" ht="15" hidden="false" customHeight="true" outlineLevel="0" collapsed="false">
      <c r="B34" s="92" t="s">
        <v>560</v>
      </c>
      <c r="C34" s="92"/>
      <c r="D34" s="93" t="s">
        <v>561</v>
      </c>
      <c r="E34" s="93"/>
      <c r="F34" s="93"/>
      <c r="G34" s="93"/>
      <c r="H34" s="93"/>
    </row>
    <row r="35" customFormat="false" ht="15" hidden="false" customHeight="true" outlineLevel="0" collapsed="false">
      <c r="B35" s="92" t="s">
        <v>562</v>
      </c>
      <c r="C35" s="92"/>
      <c r="D35" s="93" t="s">
        <v>563</v>
      </c>
      <c r="E35" s="93"/>
      <c r="F35" s="93"/>
      <c r="G35" s="93"/>
      <c r="H35" s="93"/>
    </row>
    <row r="36" customFormat="false" ht="15" hidden="false" customHeight="true" outlineLevel="0" collapsed="false">
      <c r="B36" s="92" t="s">
        <v>564</v>
      </c>
      <c r="C36" s="92"/>
      <c r="D36" s="93" t="s">
        <v>565</v>
      </c>
      <c r="E36" s="93"/>
      <c r="F36" s="93"/>
      <c r="G36" s="93"/>
      <c r="H36" s="93"/>
    </row>
    <row r="37" customFormat="false" ht="15" hidden="false" customHeight="true" outlineLevel="0" collapsed="false">
      <c r="B37" s="92" t="s">
        <v>566</v>
      </c>
      <c r="C37" s="92"/>
      <c r="D37" s="93" t="s">
        <v>567</v>
      </c>
      <c r="E37" s="93"/>
      <c r="F37" s="93"/>
      <c r="G37" s="93"/>
      <c r="H37" s="93"/>
    </row>
    <row r="39" customFormat="false" ht="19.5" hidden="false" customHeight="true" outlineLevel="0" collapsed="false">
      <c r="A39" s="83" t="s">
        <v>568</v>
      </c>
      <c r="B39" s="83"/>
      <c r="C39" s="83"/>
      <c r="D39" s="83"/>
      <c r="E39" s="83"/>
      <c r="F39" s="83"/>
      <c r="G39" s="83"/>
      <c r="H39" s="83"/>
    </row>
    <row r="40" customFormat="false" ht="15" hidden="false" customHeight="true" outlineLevel="0" collapsed="false">
      <c r="B40" s="94" t="s">
        <v>569</v>
      </c>
      <c r="C40" s="94"/>
      <c r="D40" s="95" t="s">
        <v>570</v>
      </c>
      <c r="E40" s="95"/>
      <c r="F40" s="95"/>
      <c r="G40" s="95"/>
      <c r="H40" s="95"/>
    </row>
    <row r="41" customFormat="false" ht="15" hidden="false" customHeight="true" outlineLevel="0" collapsed="false">
      <c r="B41" s="96" t="s">
        <v>571</v>
      </c>
      <c r="C41" s="96"/>
      <c r="D41" s="97" t="s">
        <v>572</v>
      </c>
      <c r="E41" s="97"/>
      <c r="F41" s="97"/>
      <c r="G41" s="97"/>
      <c r="H41" s="97"/>
    </row>
    <row r="42" customFormat="false" ht="15" hidden="false" customHeight="true" outlineLevel="0" collapsed="false">
      <c r="B42" s="98" t="s">
        <v>573</v>
      </c>
      <c r="C42" s="98"/>
      <c r="D42" s="99" t="s">
        <v>574</v>
      </c>
      <c r="E42" s="99"/>
      <c r="F42" s="99"/>
      <c r="G42" s="99"/>
      <c r="H42" s="99"/>
    </row>
    <row r="43" customFormat="false" ht="15" hidden="false" customHeight="true" outlineLevel="0" collapsed="false">
      <c r="B43" s="84" t="s">
        <v>575</v>
      </c>
      <c r="C43" s="84"/>
      <c r="D43" s="85" t="s">
        <v>576</v>
      </c>
      <c r="E43" s="85"/>
      <c r="F43" s="85"/>
      <c r="G43" s="85"/>
      <c r="H43" s="85"/>
    </row>
    <row r="44" customFormat="false" ht="15" hidden="false" customHeight="true" outlineLevel="0" collapsed="false">
      <c r="B44" s="100" t="s">
        <v>577</v>
      </c>
      <c r="C44" s="100"/>
      <c r="D44" s="101" t="s">
        <v>578</v>
      </c>
      <c r="E44" s="101"/>
      <c r="F44" s="101"/>
      <c r="G44" s="101"/>
      <c r="H44" s="101"/>
    </row>
    <row r="45" customFormat="false" ht="15" hidden="false" customHeight="true" outlineLevel="0" collapsed="false">
      <c r="B45" s="102" t="s">
        <v>579</v>
      </c>
      <c r="C45" s="102"/>
      <c r="D45" s="103" t="s">
        <v>580</v>
      </c>
      <c r="E45" s="103"/>
      <c r="F45" s="103"/>
      <c r="G45" s="103"/>
      <c r="H45" s="103"/>
    </row>
    <row r="47" customFormat="false" ht="19.5" hidden="false" customHeight="true" outlineLevel="0" collapsed="false">
      <c r="A47" s="83" t="s">
        <v>581</v>
      </c>
      <c r="B47" s="83"/>
      <c r="C47" s="83"/>
      <c r="D47" s="83"/>
      <c r="E47" s="83"/>
      <c r="F47" s="83"/>
      <c r="G47" s="83"/>
      <c r="H47" s="83"/>
    </row>
    <row r="48" customFormat="false" ht="15" hidden="false" customHeight="true" outlineLevel="0" collapsed="false">
      <c r="B48" s="104" t="s">
        <v>582</v>
      </c>
      <c r="C48" s="104"/>
      <c r="D48" s="105" t="s">
        <v>583</v>
      </c>
      <c r="E48" s="105"/>
      <c r="F48" s="105"/>
      <c r="G48" s="105"/>
      <c r="H48" s="105"/>
    </row>
    <row r="49" customFormat="false" ht="15" hidden="false" customHeight="true" outlineLevel="0" collapsed="false">
      <c r="B49" s="104" t="s">
        <v>584</v>
      </c>
      <c r="C49" s="104"/>
      <c r="D49" s="105" t="s">
        <v>585</v>
      </c>
      <c r="E49" s="105"/>
      <c r="F49" s="105"/>
      <c r="G49" s="105"/>
      <c r="H49" s="105"/>
    </row>
    <row r="50" customFormat="false" ht="15" hidden="false" customHeight="true" outlineLevel="0" collapsed="false">
      <c r="B50" s="104" t="s">
        <v>586</v>
      </c>
      <c r="C50" s="104"/>
      <c r="D50" s="105" t="s">
        <v>587</v>
      </c>
      <c r="E50" s="105"/>
      <c r="F50" s="105"/>
      <c r="G50" s="105"/>
      <c r="H50" s="105"/>
    </row>
    <row r="51" customFormat="false" ht="15" hidden="false" customHeight="true" outlineLevel="0" collapsed="false">
      <c r="B51" s="104" t="s">
        <v>588</v>
      </c>
      <c r="C51" s="104"/>
      <c r="D51" s="105" t="s">
        <v>589</v>
      </c>
      <c r="E51" s="105"/>
      <c r="F51" s="105"/>
      <c r="G51" s="105"/>
      <c r="H51" s="105"/>
    </row>
    <row r="52" customFormat="false" ht="15" hidden="false" customHeight="true" outlineLevel="0" collapsed="false">
      <c r="B52" s="104" t="s">
        <v>590</v>
      </c>
      <c r="C52" s="104"/>
      <c r="D52" s="105" t="s">
        <v>591</v>
      </c>
      <c r="E52" s="105"/>
      <c r="F52" s="105"/>
      <c r="G52" s="105"/>
      <c r="H52" s="105"/>
    </row>
    <row r="53" customFormat="false" ht="15" hidden="false" customHeight="true" outlineLevel="0" collapsed="false">
      <c r="B53" s="104" t="s">
        <v>592</v>
      </c>
      <c r="C53" s="104"/>
      <c r="D53" s="105" t="s">
        <v>593</v>
      </c>
      <c r="E53" s="105"/>
      <c r="F53" s="105"/>
      <c r="G53" s="105"/>
      <c r="H53" s="105"/>
    </row>
    <row r="54" customFormat="false" ht="15" hidden="false" customHeight="true" outlineLevel="0" collapsed="false">
      <c r="B54" s="104" t="s">
        <v>594</v>
      </c>
      <c r="C54" s="104"/>
      <c r="D54" s="105" t="s">
        <v>595</v>
      </c>
      <c r="E54" s="105"/>
      <c r="F54" s="105"/>
      <c r="G54" s="105"/>
      <c r="H54" s="105"/>
    </row>
    <row r="55" customFormat="false" ht="15" hidden="false" customHeight="true" outlineLevel="0" collapsed="false">
      <c r="B55" s="104" t="s">
        <v>596</v>
      </c>
      <c r="C55" s="104"/>
      <c r="D55" s="105" t="s">
        <v>597</v>
      </c>
      <c r="E55" s="105"/>
      <c r="F55" s="105"/>
      <c r="G55" s="105"/>
      <c r="H55" s="105"/>
    </row>
  </sheetData>
  <mergeCells count="80">
    <mergeCell ref="A1:H1"/>
    <mergeCell ref="A2:H2"/>
    <mergeCell ref="B3:C3"/>
    <mergeCell ref="D3:H3"/>
    <mergeCell ref="B4:C4"/>
    <mergeCell ref="D4:H4"/>
    <mergeCell ref="B5:C5"/>
    <mergeCell ref="D5:H5"/>
    <mergeCell ref="B6:C6"/>
    <mergeCell ref="D6:H6"/>
    <mergeCell ref="B7:C7"/>
    <mergeCell ref="D7:H7"/>
    <mergeCell ref="B8:C8"/>
    <mergeCell ref="D8:H8"/>
    <mergeCell ref="B9:C9"/>
    <mergeCell ref="D9:H9"/>
    <mergeCell ref="A19:H19"/>
    <mergeCell ref="B20:C20"/>
    <mergeCell ref="D20:H20"/>
    <mergeCell ref="B21:C21"/>
    <mergeCell ref="D21:H21"/>
    <mergeCell ref="B22:C22"/>
    <mergeCell ref="D22:H22"/>
    <mergeCell ref="B23:C23"/>
    <mergeCell ref="D23:H23"/>
    <mergeCell ref="B24:C24"/>
    <mergeCell ref="D24:H24"/>
    <mergeCell ref="B25:C25"/>
    <mergeCell ref="D25:H25"/>
    <mergeCell ref="B26:C26"/>
    <mergeCell ref="D26:H26"/>
    <mergeCell ref="B27:C27"/>
    <mergeCell ref="D27:H27"/>
    <mergeCell ref="B28:C28"/>
    <mergeCell ref="D28:H28"/>
    <mergeCell ref="B29:C29"/>
    <mergeCell ref="D29:H29"/>
    <mergeCell ref="B30:C30"/>
    <mergeCell ref="D30:H30"/>
    <mergeCell ref="A32:H32"/>
    <mergeCell ref="B33:C33"/>
    <mergeCell ref="D33:H33"/>
    <mergeCell ref="B34:C34"/>
    <mergeCell ref="D34:H34"/>
    <mergeCell ref="B35:C35"/>
    <mergeCell ref="D35:H35"/>
    <mergeCell ref="B36:C36"/>
    <mergeCell ref="D36:H36"/>
    <mergeCell ref="B37:C37"/>
    <mergeCell ref="D37:H37"/>
    <mergeCell ref="A39:H39"/>
    <mergeCell ref="B40:C40"/>
    <mergeCell ref="D40:H40"/>
    <mergeCell ref="B41:C41"/>
    <mergeCell ref="D41:H41"/>
    <mergeCell ref="B42:C42"/>
    <mergeCell ref="D42:H42"/>
    <mergeCell ref="B43:C43"/>
    <mergeCell ref="D43:H43"/>
    <mergeCell ref="B44:C44"/>
    <mergeCell ref="D44:H44"/>
    <mergeCell ref="B45:C45"/>
    <mergeCell ref="D45:H45"/>
    <mergeCell ref="A47:H47"/>
    <mergeCell ref="B48:C48"/>
    <mergeCell ref="D48:H48"/>
    <mergeCell ref="B49:C49"/>
    <mergeCell ref="D49:H49"/>
    <mergeCell ref="B50:C50"/>
    <mergeCell ref="D50:H50"/>
    <mergeCell ref="B51:C51"/>
    <mergeCell ref="D51:H51"/>
    <mergeCell ref="B52:C52"/>
    <mergeCell ref="D52:H52"/>
    <mergeCell ref="B53:C53"/>
    <mergeCell ref="D53:H53"/>
    <mergeCell ref="B54:C54"/>
    <mergeCell ref="D54:H54"/>
    <mergeCell ref="B55:C55"/>
    <mergeCell ref="D55:H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2026-04-28T22:20:35Z</dcterms:created>
  <dc:creator>openpyxl</dc:creator>
  <dc:description/>
  <dc:language>en-US</dc:language>
  <cp:lastModifiedBy/>
  <dcterms:modified xsi:type="dcterms:W3CDTF">2026-04-28T22:22:28Z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